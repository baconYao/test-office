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Leeuw\Desktop\"/>
    </mc:Choice>
  </mc:AlternateContent>
  <bookViews>
    <workbookView xWindow="2130" yWindow="495" windowWidth="19935" windowHeight="11775" activeTab="1"/>
  </bookViews>
  <sheets>
    <sheet name="Instructions" sheetId="3" r:id="rId1"/>
    <sheet name="Report" sheetId="1" r:id="rId2"/>
    <sheet name="ASCII Data" sheetId="2" r:id="rId3"/>
  </sheets>
  <definedNames>
    <definedName name="Data">'ASCII Data'!$4:$6</definedName>
    <definedName name="SampleNumber">Report!$B$2</definedName>
  </definedNames>
  <calcPr calcId="152511"/>
</workbook>
</file>

<file path=xl/calcChain.xml><?xml version="1.0" encoding="utf-8"?>
<calcChain xmlns="http://schemas.openxmlformats.org/spreadsheetml/2006/main">
  <c r="G5" i="1" l="1"/>
  <c r="G4" i="1"/>
  <c r="B45" i="1"/>
  <c r="J49" i="1" s="1"/>
  <c r="B52" i="1"/>
  <c r="F57" i="1"/>
  <c r="F56" i="1"/>
  <c r="I9" i="1"/>
  <c r="L9" i="1" s="1"/>
  <c r="B57" i="1"/>
  <c r="B56" i="1"/>
  <c r="B55" i="1"/>
  <c r="B54" i="1"/>
  <c r="B53" i="1"/>
  <c r="B5" i="1"/>
  <c r="B3" i="1"/>
  <c r="B51" i="1"/>
  <c r="B6" i="1"/>
  <c r="B50" i="1"/>
  <c r="B46" i="1"/>
  <c r="J9" i="1"/>
  <c r="K9" i="1" s="1"/>
  <c r="B44" i="1"/>
  <c r="F54" i="1"/>
  <c r="F53" i="1"/>
  <c r="F52" i="1"/>
  <c r="F51" i="1"/>
  <c r="F50" i="1"/>
  <c r="F49" i="1"/>
  <c r="F48" i="1"/>
  <c r="F47" i="1"/>
  <c r="F46" i="1"/>
  <c r="F45" i="1"/>
  <c r="F44" i="1"/>
  <c r="I52" i="1"/>
  <c r="L52" i="1" s="1"/>
  <c r="I51" i="1"/>
  <c r="L51" i="1"/>
  <c r="I50" i="1"/>
  <c r="L50" i="1" s="1"/>
  <c r="I49" i="1"/>
  <c r="L49" i="1" s="1"/>
  <c r="I48" i="1"/>
  <c r="L48" i="1" s="1"/>
  <c r="I47" i="1"/>
  <c r="L47" i="1" s="1"/>
  <c r="I46" i="1"/>
  <c r="L46" i="1" s="1"/>
  <c r="I45" i="1"/>
  <c r="L45" i="1"/>
  <c r="I44" i="1"/>
  <c r="L44" i="1" s="1"/>
  <c r="I43" i="1"/>
  <c r="L43" i="1" s="1"/>
  <c r="I42" i="1"/>
  <c r="L42" i="1" s="1"/>
  <c r="I41" i="1"/>
  <c r="L41" i="1" s="1"/>
  <c r="I40" i="1"/>
  <c r="L40" i="1" s="1"/>
  <c r="I39" i="1"/>
  <c r="L39" i="1" s="1"/>
  <c r="I38" i="1"/>
  <c r="L38" i="1" s="1"/>
  <c r="I37" i="1"/>
  <c r="L37" i="1" s="1"/>
  <c r="I36" i="1"/>
  <c r="L36" i="1" s="1"/>
  <c r="I35" i="1"/>
  <c r="L35" i="1" s="1"/>
  <c r="I34" i="1"/>
  <c r="L34" i="1" s="1"/>
  <c r="I33" i="1"/>
  <c r="L33" i="1" s="1"/>
  <c r="I32" i="1"/>
  <c r="L32" i="1" s="1"/>
  <c r="I31" i="1"/>
  <c r="L31" i="1" s="1"/>
  <c r="I30" i="1"/>
  <c r="I29" i="1"/>
  <c r="I28" i="1"/>
  <c r="L28" i="1" s="1"/>
  <c r="I27" i="1"/>
  <c r="L27" i="1" s="1"/>
  <c r="I26" i="1"/>
  <c r="L26" i="1" s="1"/>
  <c r="I25" i="1"/>
  <c r="L25" i="1" s="1"/>
  <c r="I24" i="1"/>
  <c r="L24" i="1" s="1"/>
  <c r="I23" i="1"/>
  <c r="L23" i="1" s="1"/>
  <c r="I22" i="1"/>
  <c r="L22" i="1" s="1"/>
  <c r="I21" i="1"/>
  <c r="L21" i="1" s="1"/>
  <c r="I20" i="1"/>
  <c r="L20" i="1" s="1"/>
  <c r="I19" i="1"/>
  <c r="L19" i="1" s="1"/>
  <c r="I18" i="1"/>
  <c r="L18" i="1" s="1"/>
  <c r="I17" i="1"/>
  <c r="L17" i="1" s="1"/>
  <c r="I16" i="1"/>
  <c r="L16" i="1" s="1"/>
  <c r="I15" i="1"/>
  <c r="L15" i="1" s="1"/>
  <c r="I14" i="1"/>
  <c r="I13" i="1"/>
  <c r="L13" i="1" s="1"/>
  <c r="I12" i="1"/>
  <c r="L12" i="1" s="1"/>
  <c r="I11" i="1"/>
  <c r="L11" i="1" s="1"/>
  <c r="I10" i="1"/>
  <c r="L10" i="1" s="1"/>
  <c r="B49" i="1"/>
  <c r="F55" i="1"/>
  <c r="B48" i="1"/>
  <c r="B47" i="1"/>
  <c r="B4" i="1"/>
  <c r="L30" i="1"/>
  <c r="L29" i="1"/>
  <c r="L14" i="1"/>
  <c r="J11" i="1" l="1"/>
  <c r="J10" i="1"/>
  <c r="K10" i="1" s="1"/>
  <c r="K11" i="1" s="1"/>
  <c r="J26" i="1"/>
  <c r="J34" i="1"/>
  <c r="J18" i="1"/>
  <c r="J42" i="1"/>
  <c r="J19" i="1"/>
  <c r="J50" i="1"/>
  <c r="J27" i="1"/>
  <c r="J35" i="1"/>
  <c r="J43" i="1"/>
  <c r="J51" i="1"/>
  <c r="J14" i="1"/>
  <c r="J20" i="1"/>
  <c r="J30" i="1"/>
  <c r="J38" i="1"/>
  <c r="J45" i="1"/>
  <c r="J15" i="1"/>
  <c r="J23" i="1"/>
  <c r="J31" i="1"/>
  <c r="J39" i="1"/>
  <c r="J47" i="1"/>
  <c r="J12" i="1"/>
  <c r="J16" i="1"/>
  <c r="J21" i="1"/>
  <c r="J24" i="1"/>
  <c r="J28" i="1"/>
  <c r="J32" i="1"/>
  <c r="J36" i="1"/>
  <c r="J40" i="1"/>
  <c r="J44" i="1"/>
  <c r="J48" i="1"/>
  <c r="J52" i="1"/>
  <c r="J13" i="1"/>
  <c r="J17" i="1"/>
  <c r="J22" i="1"/>
  <c r="J25" i="1"/>
  <c r="J29" i="1"/>
  <c r="J33" i="1"/>
  <c r="J37" i="1"/>
  <c r="J41" i="1"/>
  <c r="J46" i="1"/>
  <c r="K12" i="1" l="1"/>
  <c r="K13" i="1" s="1"/>
  <c r="K14" i="1" s="1"/>
  <c r="K15" i="1" s="1"/>
  <c r="K16" i="1" s="1"/>
  <c r="K17" i="1" s="1"/>
  <c r="K18" i="1" s="1"/>
  <c r="K19" i="1" s="1"/>
  <c r="K20" i="1" s="1"/>
  <c r="K21" i="1" s="1"/>
  <c r="K22" i="1" s="1"/>
  <c r="K23" i="1" s="1"/>
  <c r="K24" i="1" s="1"/>
  <c r="K25" i="1" s="1"/>
  <c r="K26" i="1" s="1"/>
  <c r="K27" i="1" s="1"/>
  <c r="K28" i="1" s="1"/>
  <c r="K29" i="1" s="1"/>
  <c r="K30" i="1" s="1"/>
  <c r="K31" i="1" s="1"/>
  <c r="K32" i="1" s="1"/>
  <c r="K33" i="1" s="1"/>
  <c r="K34" i="1" s="1"/>
  <c r="K35" i="1" s="1"/>
  <c r="K36" i="1" s="1"/>
  <c r="K37" i="1" s="1"/>
  <c r="K38" i="1" s="1"/>
  <c r="K39" i="1" s="1"/>
  <c r="K40" i="1" s="1"/>
  <c r="K41" i="1" s="1"/>
  <c r="K42" i="1" s="1"/>
  <c r="K43" i="1" s="1"/>
  <c r="K44" i="1" s="1"/>
  <c r="K45" i="1" s="1"/>
  <c r="K46" i="1" s="1"/>
  <c r="K47" i="1" s="1"/>
  <c r="K48" i="1" s="1"/>
  <c r="K49" i="1" s="1"/>
  <c r="K50" i="1" s="1"/>
  <c r="K51" i="1" s="1"/>
  <c r="K52" i="1" s="1"/>
</calcChain>
</file>

<file path=xl/comments1.xml><?xml version="1.0" encoding="utf-8"?>
<comments xmlns="http://schemas.openxmlformats.org/spreadsheetml/2006/main">
  <authors>
    <author>Chuck Pottsmith</author>
  </authors>
  <commentList>
    <comment ref="B2" authorId="0" shapeId="0">
      <text>
        <r>
          <rPr>
            <b/>
            <sz val="9"/>
            <color indexed="81"/>
            <rFont val="Tahoma"/>
            <family val="2"/>
          </rPr>
          <t>Change the value in this cell to select a different sample within a multiple sample data set</t>
        </r>
      </text>
    </comment>
    <comment ref="A44" authorId="0" shapeId="0">
      <text>
        <r>
          <rPr>
            <sz val="9"/>
            <color indexed="81"/>
            <rFont val="Tahoma"/>
            <family val="2"/>
          </rPr>
          <t>Percent of laser light that passes through sample. Samples with transmissions  less than 30% could have effect of multiple scattering. Samples with transmissions higher than 95% could have low signal to noise ratios.</t>
        </r>
      </text>
    </comment>
    <comment ref="E44" authorId="0" shapeId="0">
      <text>
        <r>
          <rPr>
            <sz val="9"/>
            <color indexed="81"/>
            <rFont val="Tahoma"/>
            <family val="2"/>
          </rPr>
          <t xml:space="preserve"> 5% of the volume of particles are less than this size.</t>
        </r>
      </text>
    </comment>
    <comment ref="A45" authorId="0" shapeId="0">
      <text>
        <r>
          <rPr>
            <sz val="9"/>
            <color indexed="81"/>
            <rFont val="Tahoma"/>
            <family val="2"/>
          </rPr>
          <t xml:space="preserve">Total Volume Concentration is the sum of the Volume Concentration in each of the 44 size classes.  It is in unit of Volume and not Mass.  </t>
        </r>
      </text>
    </comment>
    <comment ref="E45" authorId="0" shapeId="0">
      <text>
        <r>
          <rPr>
            <sz val="9"/>
            <color indexed="81"/>
            <rFont val="Tahoma"/>
            <family val="2"/>
          </rPr>
          <t xml:space="preserve"> 10% of the volume of particles are less than this size.</t>
        </r>
      </text>
    </comment>
    <comment ref="A46" authorId="0" shapeId="0">
      <text>
        <r>
          <rPr>
            <sz val="9"/>
            <color indexed="81"/>
            <rFont val="Tahoma"/>
            <family val="2"/>
          </rPr>
          <t xml:space="preserve">Total Mass Concentration is the Total Volume Concentration times the Effective Density  It is in unit of Mass and not Volume.  </t>
        </r>
      </text>
    </comment>
    <comment ref="E46" authorId="0" shapeId="0">
      <text>
        <r>
          <rPr>
            <sz val="9"/>
            <color indexed="81"/>
            <rFont val="Tahoma"/>
            <family val="2"/>
          </rPr>
          <t>16% of the volume of particles are less than this size.</t>
        </r>
      </text>
    </comment>
    <comment ref="A47" authorId="0" shapeId="0">
      <text>
        <r>
          <rPr>
            <sz val="9"/>
            <color indexed="81"/>
            <rFont val="Tahoma"/>
            <family val="2"/>
          </rPr>
          <t>Mean Particle Size. 
It may be different from the Median Size or D50.</t>
        </r>
      </text>
    </comment>
    <comment ref="E47" authorId="0" shapeId="0">
      <text>
        <r>
          <rPr>
            <sz val="9"/>
            <color indexed="81"/>
            <rFont val="Tahoma"/>
            <family val="2"/>
          </rPr>
          <t>25% of the volume of particles are less than this size.</t>
        </r>
      </text>
    </comment>
    <comment ref="A48" authorId="0" shapeId="0">
      <text>
        <r>
          <rPr>
            <sz val="9"/>
            <color indexed="81"/>
            <rFont val="Tahoma"/>
            <family val="2"/>
          </rPr>
          <t>Standard Deviation of particle size distribution</t>
        </r>
      </text>
    </comment>
    <comment ref="E48" authorId="0" shapeId="0">
      <text>
        <r>
          <rPr>
            <sz val="9"/>
            <color indexed="81"/>
            <rFont val="Tahoma"/>
            <family val="2"/>
          </rPr>
          <t>50% of the volume of particles are less than this size.  Also known as the Median Size.</t>
        </r>
      </text>
    </comment>
    <comment ref="A49" authorId="0" shapeId="0">
      <text>
        <r>
          <rPr>
            <sz val="9"/>
            <color indexed="81"/>
            <rFont val="Tahoma"/>
            <family val="2"/>
          </rPr>
          <t xml:space="preserve">Particle model used to compute size distribution. </t>
        </r>
      </text>
    </comment>
    <comment ref="E49" authorId="0" shapeId="0">
      <text>
        <r>
          <rPr>
            <sz val="9"/>
            <color indexed="81"/>
            <rFont val="Tahoma"/>
            <family val="2"/>
          </rPr>
          <t>60% of the volume of particles are less than this size.</t>
        </r>
      </text>
    </comment>
    <comment ref="A50" authorId="0" shapeId="0">
      <text>
        <r>
          <rPr>
            <sz val="9"/>
            <color indexed="81"/>
            <rFont val="Tahoma"/>
            <family val="2"/>
          </rPr>
          <t>Index of Refraction associated with the Optical Model used</t>
        </r>
      </text>
    </comment>
    <comment ref="E50" authorId="0" shapeId="0">
      <text>
        <r>
          <rPr>
            <sz val="9"/>
            <color indexed="81"/>
            <rFont val="Tahoma"/>
            <family val="2"/>
          </rPr>
          <t xml:space="preserve">75% of the volume of particles are less than this size.  </t>
        </r>
      </text>
    </comment>
    <comment ref="A51" authorId="0" shapeId="0">
      <text>
        <r>
          <rPr>
            <sz val="9"/>
            <color indexed="81"/>
            <rFont val="Tahoma"/>
            <family val="2"/>
          </rPr>
          <t>Effective Density is used to convert the Volume Concentration into Mass Concentration</t>
        </r>
      </text>
    </comment>
    <comment ref="E51" authorId="0" shapeId="0">
      <text>
        <r>
          <rPr>
            <sz val="9"/>
            <color indexed="81"/>
            <rFont val="Tahoma"/>
            <family val="2"/>
          </rPr>
          <t>84% of the volume of particles are less than this size.</t>
        </r>
      </text>
    </comment>
    <comment ref="A52" authorId="0" shapeId="0">
      <text>
        <r>
          <rPr>
            <sz val="9"/>
            <color indexed="81"/>
            <rFont val="Tahoma"/>
            <family val="2"/>
          </rPr>
          <t>Percent of Mixer Full speed used during sampling</t>
        </r>
      </text>
    </comment>
    <comment ref="E52" authorId="0" shapeId="0">
      <text>
        <r>
          <rPr>
            <sz val="9"/>
            <color indexed="81"/>
            <rFont val="Tahoma"/>
            <family val="2"/>
          </rPr>
          <t>90% of the volume of particles are less than this size.</t>
        </r>
      </text>
    </comment>
    <comment ref="A53" authorId="0" shapeId="0">
      <text>
        <r>
          <rPr>
            <sz val="9"/>
            <color indexed="81"/>
            <rFont val="Tahoma"/>
            <family val="2"/>
          </rPr>
          <t xml:space="preserve">Duration of mixing AFTER ultrasonic processing is complete
</t>
        </r>
      </text>
    </comment>
    <comment ref="E53" authorId="0" shapeId="0">
      <text>
        <r>
          <rPr>
            <sz val="9"/>
            <color indexed="81"/>
            <rFont val="Tahoma"/>
            <family val="2"/>
          </rPr>
          <t>95% of the volume of particles are less than this size.</t>
        </r>
      </text>
    </comment>
    <comment ref="A54" authorId="0" shapeId="0">
      <text>
        <r>
          <rPr>
            <sz val="9"/>
            <color indexed="81"/>
            <rFont val="Tahoma"/>
            <family val="2"/>
          </rPr>
          <t>Percent of full ultrasonic power used during sample prep</t>
        </r>
      </text>
    </comment>
    <comment ref="E54" authorId="0" shapeId="0">
      <text>
        <r>
          <rPr>
            <sz val="9"/>
            <color indexed="81"/>
            <rFont val="Tahoma"/>
            <family val="2"/>
          </rPr>
          <t>Ratio of D60 to D10.  Also known as Hazen's Uniformity Coefficient. It is a measure of the range of particle sizes present in the sample</t>
        </r>
      </text>
    </comment>
    <comment ref="A55" authorId="0" shapeId="0">
      <text>
        <r>
          <rPr>
            <sz val="9"/>
            <color indexed="81"/>
            <rFont val="Tahoma"/>
            <family val="2"/>
          </rPr>
          <t>Duration of ultrasonification during sample prep</t>
        </r>
      </text>
    </comment>
    <comment ref="E55" authorId="0" shapeId="0">
      <text>
        <r>
          <rPr>
            <sz val="9"/>
            <color indexed="81"/>
            <rFont val="Tahoma"/>
            <family val="2"/>
          </rPr>
          <t>Surface area is the total surface area of all particles in the sample that are within the size range of the instrument.</t>
        </r>
      </text>
    </comment>
    <comment ref="A56" authorId="0" shapeId="0">
      <text>
        <r>
          <rPr>
            <sz val="9"/>
            <color indexed="81"/>
            <rFont val="Tahoma"/>
            <family val="2"/>
          </rPr>
          <t>Duration of sample averaging during data collection</t>
        </r>
      </text>
    </comment>
    <comment ref="E56" authorId="0" shapeId="0">
      <text>
        <r>
          <rPr>
            <sz val="9"/>
            <color indexed="81"/>
            <rFont val="Tahoma"/>
            <family val="2"/>
          </rPr>
          <t xml:space="preserve">Silt Ratio is the proportion (by volume concentration) that particles less than 64 microns makes up of the total concentration.
It is NOT the density of the particles being measured.
</t>
        </r>
      </text>
    </comment>
    <comment ref="A57" authorId="0" shapeId="0">
      <text>
        <r>
          <rPr>
            <sz val="9"/>
            <color indexed="81"/>
            <rFont val="Tahoma"/>
            <family val="2"/>
          </rPr>
          <t>Sample Prep procedure used (either Manual or Automatic)</t>
        </r>
      </text>
    </comment>
    <comment ref="E57" authorId="0" shapeId="0">
      <text>
        <r>
          <rPr>
            <sz val="9"/>
            <color indexed="81"/>
            <rFont val="Tahoma"/>
            <family val="2"/>
          </rPr>
          <t>Silt Volume is the total volume concentration of particles less than 64 microns.</t>
        </r>
      </text>
    </comment>
  </commentList>
</comments>
</file>

<file path=xl/sharedStrings.xml><?xml version="1.0" encoding="utf-8"?>
<sst xmlns="http://schemas.openxmlformats.org/spreadsheetml/2006/main" count="66" uniqueCount="50">
  <si>
    <t>Volume Conc (%)</t>
  </si>
  <si>
    <t>Cumulative Volume</t>
  </si>
  <si>
    <t>Computed Statistics</t>
  </si>
  <si>
    <t xml:space="preserve"> Mean Size</t>
  </si>
  <si>
    <t xml:space="preserve"> Standard Deviation</t>
  </si>
  <si>
    <t xml:space="preserve"> Optical Transmission</t>
  </si>
  <si>
    <t xml:space="preserve"> D10</t>
  </si>
  <si>
    <t xml:space="preserve"> D16</t>
  </si>
  <si>
    <t xml:space="preserve"> D50</t>
  </si>
  <si>
    <t xml:space="preserve"> D60</t>
  </si>
  <si>
    <t xml:space="preserve"> D84</t>
  </si>
  <si>
    <t xml:space="preserve"> D90</t>
  </si>
  <si>
    <t xml:space="preserve"> D60/D10</t>
  </si>
  <si>
    <t xml:space="preserve"> Surface Area</t>
  </si>
  <si>
    <t xml:space="preserve"> Silt Volume</t>
  </si>
  <si>
    <t xml:space="preserve"> microns</t>
  </si>
  <si>
    <t xml:space="preserve">  </t>
  </si>
  <si>
    <t>Median Size (microns)</t>
  </si>
  <si>
    <t>cm^2</t>
  </si>
  <si>
    <t>Upper Size</t>
  </si>
  <si>
    <r>
      <rPr>
        <sz val="14"/>
        <color theme="1"/>
        <rFont val="Symbol"/>
        <family val="1"/>
        <charset val="2"/>
      </rPr>
      <t xml:space="preserve"> m</t>
    </r>
    <r>
      <rPr>
        <sz val="14"/>
        <color theme="1"/>
        <rFont val="Calibri"/>
        <family val="2"/>
        <scheme val="minor"/>
      </rPr>
      <t>l/l</t>
    </r>
  </si>
  <si>
    <r>
      <t xml:space="preserve"> </t>
    </r>
    <r>
      <rPr>
        <sz val="14"/>
        <color theme="1"/>
        <rFont val="Symbol"/>
        <family val="1"/>
        <charset val="2"/>
      </rPr>
      <t>m</t>
    </r>
    <r>
      <rPr>
        <sz val="14"/>
        <color theme="1"/>
        <rFont val="Calibri"/>
        <family val="2"/>
        <scheme val="minor"/>
      </rPr>
      <t>l/l</t>
    </r>
  </si>
  <si>
    <t xml:space="preserve"> D5</t>
  </si>
  <si>
    <t xml:space="preserve"> D25</t>
  </si>
  <si>
    <t xml:space="preserve"> D75</t>
  </si>
  <si>
    <t xml:space="preserve"> D95</t>
  </si>
  <si>
    <t xml:space="preserve"> Silt Ratio</t>
  </si>
  <si>
    <t xml:space="preserve"> Optical Model</t>
  </si>
  <si>
    <t>Ultrasonic Duration</t>
  </si>
  <si>
    <t xml:space="preserve"> mg/l</t>
  </si>
  <si>
    <t xml:space="preserve"> Total Volume Conc</t>
  </si>
  <si>
    <t xml:space="preserve"> Total Mass Conc</t>
  </si>
  <si>
    <t>Index of Refraction</t>
  </si>
  <si>
    <t>Effective Density</t>
  </si>
  <si>
    <t>g/cm^3</t>
  </si>
  <si>
    <t>Mixer Speed</t>
  </si>
  <si>
    <t>Mixer Duration</t>
  </si>
  <si>
    <t>Ultrasonic Power</t>
  </si>
  <si>
    <t>Average Duration</t>
  </si>
  <si>
    <t>Sample Prep Control</t>
  </si>
  <si>
    <t>sec</t>
  </si>
  <si>
    <t>LISST-Portable|XR Size Distribution Report</t>
  </si>
  <si>
    <t>Operator:</t>
  </si>
  <si>
    <t>SOP Name:</t>
  </si>
  <si>
    <t>SOP Note:</t>
  </si>
  <si>
    <t xml:space="preserve">Sample Notes: </t>
  </si>
  <si>
    <t>%</t>
  </si>
  <si>
    <t xml:space="preserve">Sample Number: </t>
  </si>
  <si>
    <t>Process Date</t>
  </si>
  <si>
    <t>Process Time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</si>
</sst>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11" x14ac:knownFonts="1">
    <font>
      <sz val="11"/>
      <color theme="1"/>
      <name val="Calibri"/>
      <family val="2"/>
      <scheme val="minor"/>
    </font>
    <font>
      <sz val="11"/>
      <color theme="1"/>
      <name val="Calibri"/>
      <family val="2"/>
      <scheme val="minor"/>
    </font>
    <font>
      <sz val="11"/>
      <color theme="0"/>
      <name val="Calibri"/>
      <family val="2"/>
      <scheme val="minor"/>
    </font>
    <font>
      <sz val="24"/>
      <color theme="1"/>
      <name val="Arial Black"/>
      <family val="2"/>
    </font>
    <font>
      <sz val="14"/>
      <color theme="1"/>
      <name val="Calibri"/>
      <family val="2"/>
      <scheme val="minor"/>
    </font>
    <font>
      <b/>
      <sz val="14"/>
      <color theme="1"/>
      <name val="Calibri"/>
      <family val="2"/>
      <scheme val="minor"/>
    </font>
    <font>
      <sz val="14"/>
      <color theme="1"/>
      <name val="Symbol"/>
      <family val="1"/>
      <charset val="2"/>
    </font>
    <font>
      <b/>
      <sz val="14"/>
      <color theme="0"/>
      <name val="Calibri"/>
      <family val="2"/>
      <scheme val="minor"/>
    </font>
    <font>
      <sz val="9"/>
      <color indexed="81"/>
      <name val="Tahoma"/>
      <family val="2"/>
    </font>
    <font>
      <b/>
      <sz val="9"/>
      <color indexed="81"/>
      <name val="Tahoma"/>
      <family val="2"/>
    </font>
    <font>
      <b/>
      <sz val="16"/>
      <color rgb="FF000000"/>
      <name val="Calibri"/>
      <family val="2"/>
    </font>
  </fonts>
  <fills count="6">
    <fill>
      <patternFill patternType="none"/>
    </fill>
    <fill>
      <patternFill patternType="gray125"/>
    </fill>
    <fill>
      <patternFill patternType="solid">
        <fgColor theme="8" tint="0.39997558519241921"/>
        <bgColor indexed="65"/>
      </patternFill>
    </fill>
    <fill>
      <patternFill patternType="solid">
        <fgColor theme="8" tint="0.79998168889431442"/>
        <bgColor theme="6" tint="0.79992065187536243"/>
      </patternFill>
    </fill>
    <fill>
      <patternFill patternType="solid">
        <fgColor theme="8" tint="0.79998168889431442"/>
        <bgColor theme="6" tint="0.59999389629810485"/>
      </patternFill>
    </fill>
    <fill>
      <patternFill patternType="solid">
        <fgColor rgb="FFFFFFCC"/>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indexed="64"/>
      </top>
      <bottom style="thin">
        <color rgb="FFB2B2B2"/>
      </bottom>
      <diagonal/>
    </border>
  </borders>
  <cellStyleXfs count="5">
    <xf numFmtId="0" fontId="0" fillId="0" borderId="0"/>
    <xf numFmtId="164" fontId="1" fillId="0" borderId="0" applyFont="0" applyFill="0" applyBorder="0" applyAlignment="0" applyProtection="0"/>
    <xf numFmtId="0" fontId="2" fillId="2" borderId="0" applyNumberFormat="0" applyBorder="0" applyAlignment="0" applyProtection="0"/>
    <xf numFmtId="9" fontId="1" fillId="0" borderId="0" applyFont="0" applyFill="0" applyBorder="0" applyAlignment="0" applyProtection="0"/>
    <xf numFmtId="0" fontId="1" fillId="5" borderId="14" applyNumberFormat="0" applyFont="0" applyAlignment="0" applyProtection="0"/>
  </cellStyleXfs>
  <cellXfs count="52">
    <xf numFmtId="0" fontId="0" fillId="0" borderId="0" xfId="0"/>
    <xf numFmtId="2" fontId="0" fillId="0" borderId="0" xfId="0" applyNumberFormat="1"/>
    <xf numFmtId="2" fontId="0" fillId="0" borderId="0" xfId="0" applyNumberFormat="1" applyBorder="1" applyAlignment="1">
      <alignment horizontal="left"/>
    </xf>
    <xf numFmtId="14" fontId="0" fillId="0" borderId="0" xfId="0" applyNumberFormat="1"/>
    <xf numFmtId="0" fontId="3" fillId="0" borderId="0" xfId="0" applyFont="1"/>
    <xf numFmtId="0" fontId="0" fillId="0" borderId="0" xfId="0" applyAlignment="1">
      <alignment vertical="center"/>
    </xf>
    <xf numFmtId="0" fontId="0" fillId="0" borderId="3" xfId="0" applyBorder="1" applyAlignment="1">
      <alignment vertical="center"/>
    </xf>
    <xf numFmtId="0" fontId="4" fillId="0" borderId="3" xfId="0" applyFont="1" applyBorder="1" applyAlignment="1">
      <alignment vertical="center"/>
    </xf>
    <xf numFmtId="0" fontId="0" fillId="0" borderId="4" xfId="0" applyBorder="1" applyAlignment="1">
      <alignment vertical="center"/>
    </xf>
    <xf numFmtId="0" fontId="0" fillId="0" borderId="0" xfId="0" applyBorder="1" applyAlignment="1">
      <alignment vertical="center"/>
    </xf>
    <xf numFmtId="0" fontId="4" fillId="0" borderId="0" xfId="0" applyFont="1" applyBorder="1" applyAlignment="1">
      <alignment vertical="center"/>
    </xf>
    <xf numFmtId="0" fontId="0" fillId="0" borderId="6" xfId="0" applyBorder="1" applyAlignment="1">
      <alignment vertical="center"/>
    </xf>
    <xf numFmtId="0" fontId="0" fillId="0" borderId="8" xfId="0" applyBorder="1"/>
    <xf numFmtId="0" fontId="0" fillId="0" borderId="9" xfId="0" applyBorder="1"/>
    <xf numFmtId="2" fontId="4" fillId="3" borderId="1" xfId="1" applyNumberFormat="1" applyFont="1" applyFill="1" applyBorder="1" applyAlignment="1" applyProtection="1">
      <alignment horizontal="center"/>
    </xf>
    <xf numFmtId="10" fontId="4" fillId="3" borderId="1" xfId="0" applyNumberFormat="1" applyFont="1" applyFill="1" applyBorder="1" applyAlignment="1" applyProtection="1">
      <alignment horizontal="center"/>
    </xf>
    <xf numFmtId="2" fontId="4" fillId="0" borderId="1" xfId="1" applyNumberFormat="1" applyFont="1" applyFill="1" applyBorder="1" applyAlignment="1" applyProtection="1">
      <alignment horizontal="center"/>
    </xf>
    <xf numFmtId="10" fontId="4" fillId="0" borderId="1" xfId="0" applyNumberFormat="1" applyFont="1" applyFill="1" applyBorder="1" applyAlignment="1" applyProtection="1">
      <alignment horizontal="center"/>
    </xf>
    <xf numFmtId="2" fontId="4" fillId="4" borderId="1" xfId="0" applyNumberFormat="1" applyFont="1" applyFill="1" applyBorder="1" applyAlignment="1" applyProtection="1">
      <alignment horizontal="center"/>
    </xf>
    <xf numFmtId="2" fontId="4" fillId="0" borderId="1" xfId="0" applyNumberFormat="1" applyFont="1" applyFill="1" applyBorder="1" applyAlignment="1" applyProtection="1">
      <alignment horizontal="center"/>
    </xf>
    <xf numFmtId="0" fontId="5" fillId="2" borderId="1" xfId="2" applyFont="1" applyBorder="1" applyAlignment="1" applyProtection="1">
      <alignment horizontal="center" wrapText="1"/>
    </xf>
    <xf numFmtId="0" fontId="4" fillId="4" borderId="10" xfId="0" applyFont="1" applyFill="1" applyBorder="1" applyProtection="1"/>
    <xf numFmtId="0" fontId="4" fillId="0" borderId="1" xfId="0" applyFont="1" applyFill="1" applyBorder="1" applyProtection="1"/>
    <xf numFmtId="0" fontId="4" fillId="4" borderId="1" xfId="0" applyFont="1" applyFill="1" applyBorder="1" applyProtection="1"/>
    <xf numFmtId="0" fontId="5" fillId="2" borderId="11" xfId="2" applyFont="1" applyBorder="1" applyAlignment="1" applyProtection="1">
      <alignment horizontal="left" wrapText="1"/>
    </xf>
    <xf numFmtId="0" fontId="5" fillId="2" borderId="12" xfId="2" applyFont="1" applyBorder="1" applyAlignment="1" applyProtection="1">
      <alignment horizontal="center" wrapText="1"/>
    </xf>
    <xf numFmtId="0" fontId="5" fillId="2" borderId="13" xfId="2" applyFont="1" applyBorder="1" applyAlignment="1" applyProtection="1">
      <alignment horizontal="center" wrapText="1"/>
    </xf>
    <xf numFmtId="0" fontId="4" fillId="0" borderId="2" xfId="0" applyFont="1" applyBorder="1" applyAlignment="1" applyProtection="1">
      <alignment horizontal="left" vertical="center"/>
      <protection locked="0"/>
    </xf>
    <xf numFmtId="0" fontId="4" fillId="0" borderId="3" xfId="0" applyFont="1" applyBorder="1" applyAlignment="1" applyProtection="1">
      <alignment horizontal="center" vertical="center"/>
      <protection locked="0"/>
    </xf>
    <xf numFmtId="0" fontId="4" fillId="0" borderId="0" xfId="0" applyFont="1" applyBorder="1" applyAlignment="1" applyProtection="1">
      <alignment vertical="center"/>
      <protection locked="0"/>
    </xf>
    <xf numFmtId="49" fontId="4" fillId="0" borderId="8" xfId="0" applyNumberFormat="1" applyFont="1" applyBorder="1" applyProtection="1">
      <protection locked="0"/>
    </xf>
    <xf numFmtId="0" fontId="7" fillId="0" borderId="0" xfId="2" applyFont="1" applyFill="1" applyBorder="1" applyAlignment="1" applyProtection="1">
      <alignment horizontal="center" wrapText="1"/>
    </xf>
    <xf numFmtId="0" fontId="2" fillId="0" borderId="0" xfId="0" applyFont="1" applyProtection="1">
      <protection hidden="1"/>
    </xf>
    <xf numFmtId="0" fontId="5" fillId="2" borderId="11" xfId="2" applyFont="1" applyBorder="1" applyAlignment="1" applyProtection="1"/>
    <xf numFmtId="0" fontId="4" fillId="4" borderId="10" xfId="0" applyNumberFormat="1" applyFont="1" applyFill="1" applyBorder="1" applyAlignment="1" applyProtection="1">
      <alignment horizontal="center"/>
    </xf>
    <xf numFmtId="9" fontId="4" fillId="4" borderId="10" xfId="3" applyFont="1" applyFill="1" applyBorder="1" applyAlignment="1" applyProtection="1">
      <alignment horizontal="center"/>
    </xf>
    <xf numFmtId="2" fontId="4" fillId="4" borderId="10" xfId="0" applyNumberFormat="1" applyFont="1" applyFill="1" applyBorder="1" applyAlignment="1" applyProtection="1">
      <alignment horizontal="center"/>
    </xf>
    <xf numFmtId="0" fontId="4" fillId="0" borderId="1" xfId="0" applyNumberFormat="1" applyFont="1" applyFill="1" applyBorder="1" applyAlignment="1" applyProtection="1">
      <alignment horizontal="center"/>
    </xf>
    <xf numFmtId="0" fontId="4" fillId="0" borderId="0" xfId="0" applyFont="1" applyBorder="1" applyAlignment="1" applyProtection="1">
      <alignment horizontal="center" vertical="center"/>
      <protection locked="0"/>
    </xf>
    <xf numFmtId="9" fontId="4" fillId="3" borderId="1" xfId="3" applyFont="1" applyFill="1" applyBorder="1" applyAlignment="1" applyProtection="1">
      <alignment horizontal="center"/>
    </xf>
    <xf numFmtId="9" fontId="4" fillId="0" borderId="1" xfId="3" applyFont="1" applyFill="1" applyBorder="1" applyAlignment="1" applyProtection="1">
      <alignment horizontal="center"/>
    </xf>
    <xf numFmtId="1" fontId="4" fillId="4" borderId="10" xfId="0" applyNumberFormat="1" applyFont="1" applyFill="1" applyBorder="1" applyAlignment="1" applyProtection="1">
      <alignment horizontal="center"/>
    </xf>
    <xf numFmtId="1" fontId="4" fillId="0" borderId="1" xfId="0" applyNumberFormat="1" applyFont="1" applyFill="1" applyBorder="1" applyAlignment="1" applyProtection="1">
      <alignment horizontal="center"/>
    </xf>
    <xf numFmtId="0" fontId="4" fillId="0" borderId="5" xfId="0" applyFont="1" applyBorder="1" applyAlignment="1" applyProtection="1">
      <alignment horizontal="left" vertical="center"/>
    </xf>
    <xf numFmtId="0" fontId="4" fillId="0" borderId="0" xfId="0" applyFont="1" applyBorder="1" applyAlignment="1" applyProtection="1">
      <alignment vertical="center"/>
    </xf>
    <xf numFmtId="0" fontId="4" fillId="0" borderId="7" xfId="0" applyFont="1" applyBorder="1" applyProtection="1"/>
    <xf numFmtId="0" fontId="4" fillId="0" borderId="8" xfId="0" applyNumberFormat="1" applyFont="1" applyBorder="1" applyProtection="1"/>
    <xf numFmtId="0" fontId="4" fillId="5" borderId="15" xfId="4" applyFont="1" applyBorder="1" applyAlignment="1" applyProtection="1">
      <alignment horizontal="center" vertical="center"/>
      <protection locked="0"/>
    </xf>
    <xf numFmtId="1" fontId="4" fillId="0" borderId="0" xfId="0" applyNumberFormat="1" applyFont="1" applyBorder="1" applyAlignment="1">
      <alignment vertical="center"/>
    </xf>
    <xf numFmtId="2" fontId="4" fillId="0" borderId="0" xfId="0" applyNumberFormat="1" applyFont="1" applyBorder="1" applyAlignment="1">
      <alignment vertical="center"/>
    </xf>
    <xf numFmtId="0" fontId="0" fillId="0" borderId="8" xfId="3" applyNumberFormat="1" applyFont="1" applyBorder="1"/>
    <xf numFmtId="14" fontId="0" fillId="0" borderId="0" xfId="0" applyNumberFormat="1" applyBorder="1" applyAlignment="1">
      <alignment horizontal="left" vertical="center"/>
    </xf>
  </cellXfs>
  <cellStyles count="5">
    <cellStyle name="60% - Accent5" xfId="2" builtinId="48"/>
    <cellStyle name="Comma" xfId="1" builtinId="3"/>
    <cellStyle name="Normal" xfId="0" builtinId="0"/>
    <cellStyle name="Note" xfId="4" builtinId="10"/>
    <cellStyle name="Percent" xfId="3" builtinId="5"/>
  </cellStyles>
  <dxfs count="1">
    <dxf>
      <font>
        <color theme="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1"/>
    </mc:Choice>
    <mc:Fallback>
      <c:style val="31"/>
    </mc:Fallback>
  </mc:AlternateContent>
  <c:chart>
    <c:title>
      <c:tx>
        <c:rich>
          <a:bodyPr/>
          <a:lstStyle/>
          <a:p>
            <a:pPr>
              <a:defRPr/>
            </a:pPr>
            <a:r>
              <a:rPr lang="en-US"/>
              <a:t>Volume Concentration</a:t>
            </a:r>
          </a:p>
        </c:rich>
      </c:tx>
      <c:layout>
        <c:manualLayout>
          <c:xMode val="edge"/>
          <c:yMode val="edge"/>
          <c:x val="0.28813093337336332"/>
          <c:y val="1.2260946490323794E-2"/>
        </c:manualLayout>
      </c:layout>
      <c:overlay val="0"/>
    </c:title>
    <c:autoTitleDeleted val="0"/>
    <c:plotArea>
      <c:layout>
        <c:manualLayout>
          <c:layoutTarget val="inner"/>
          <c:xMode val="edge"/>
          <c:yMode val="edge"/>
          <c:x val="9.4356931243898878E-2"/>
          <c:y val="0.11721653651748699"/>
          <c:w val="0.87745819093020794"/>
          <c:h val="0.66178496918654395"/>
        </c:manualLayout>
      </c:layout>
      <c:barChart>
        <c:barDir val="col"/>
        <c:grouping val="clustered"/>
        <c:varyColors val="0"/>
        <c:ser>
          <c:idx val="0"/>
          <c:order val="0"/>
          <c:invertIfNegative val="0"/>
          <c:cat>
            <c:numRef>
              <c:f>Report!$I$9:$I$52</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Report!$J$9:$J$52</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85563840"/>
        <c:axId val="185724512"/>
      </c:barChart>
      <c:catAx>
        <c:axId val="185563840"/>
        <c:scaling>
          <c:orientation val="minMax"/>
        </c:scaling>
        <c:delete val="0"/>
        <c:axPos val="b"/>
        <c:title>
          <c:tx>
            <c:rich>
              <a:bodyPr/>
              <a:lstStyle/>
              <a:p>
                <a:pPr>
                  <a:defRPr/>
                </a:pPr>
                <a:r>
                  <a:rPr lang="en-US"/>
                  <a:t>Diameter in microns</a:t>
                </a:r>
              </a:p>
            </c:rich>
          </c:tx>
          <c:layout>
            <c:manualLayout>
              <c:xMode val="edge"/>
              <c:yMode val="edge"/>
              <c:x val="0.36754176610978662"/>
              <c:y val="0.90842815801052401"/>
            </c:manualLayout>
          </c:layout>
          <c:overlay val="0"/>
        </c:title>
        <c:numFmt formatCode="0.00" sourceLinked="1"/>
        <c:majorTickMark val="out"/>
        <c:minorTickMark val="none"/>
        <c:tickLblPos val="nextTo"/>
        <c:txPr>
          <a:bodyPr rot="-5400000" vert="horz"/>
          <a:lstStyle/>
          <a:p>
            <a:pPr>
              <a:defRPr sz="1200" baseline="0"/>
            </a:pPr>
            <a:endParaRPr lang="en-US"/>
          </a:p>
        </c:txPr>
        <c:crossAx val="185724512"/>
        <c:crosses val="autoZero"/>
        <c:auto val="0"/>
        <c:lblAlgn val="ctr"/>
        <c:lblOffset val="100"/>
        <c:tickLblSkip val="2"/>
        <c:tickMarkSkip val="1"/>
        <c:noMultiLvlLbl val="0"/>
      </c:catAx>
      <c:valAx>
        <c:axId val="185724512"/>
        <c:scaling>
          <c:orientation val="minMax"/>
        </c:scaling>
        <c:delete val="0"/>
        <c:axPos val="l"/>
        <c:majorGridlines/>
        <c:numFmt formatCode="0%" sourceLinked="0"/>
        <c:majorTickMark val="out"/>
        <c:minorTickMark val="none"/>
        <c:tickLblPos val="nextTo"/>
        <c:txPr>
          <a:bodyPr rot="0" vert="horz"/>
          <a:lstStyle/>
          <a:p>
            <a:pPr>
              <a:defRPr sz="1200" baseline="0"/>
            </a:pPr>
            <a:endParaRPr lang="en-US"/>
          </a:p>
        </c:txPr>
        <c:crossAx val="185563840"/>
        <c:crosses val="autoZero"/>
        <c:crossBetween val="between"/>
      </c:valAx>
      <c:spPr>
        <a:solidFill>
          <a:schemeClr val="accent3">
            <a:lumMod val="20000"/>
            <a:lumOff val="80000"/>
          </a:schemeClr>
        </a:solidFill>
      </c:spPr>
    </c:plotArea>
    <c:plotVisOnly val="1"/>
    <c:dispBlanksAs val="gap"/>
    <c:showDLblsOverMax val="0"/>
  </c:chart>
  <c:spPr>
    <a:effectLst>
      <a:outerShdw blurRad="50800" dist="38100" dir="2700000" algn="tl" rotWithShape="0">
        <a:prstClr val="black">
          <a:alpha val="40000"/>
        </a:prstClr>
      </a:outerShdw>
    </a:effectLst>
  </c:spPr>
  <c:printSettings>
    <c:headerFooter alignWithMargins="0"/>
    <c:pageMargins b="1" l="0.75000000000000255" r="0.7500000000000025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a:lstStyle/>
          <a:p>
            <a:pPr>
              <a:defRPr/>
            </a:pPr>
            <a:r>
              <a:rPr lang="en-US"/>
              <a:t>Cumulative Volume Distribution</a:t>
            </a:r>
          </a:p>
        </c:rich>
      </c:tx>
      <c:layout>
        <c:manualLayout>
          <c:xMode val="edge"/>
          <c:yMode val="edge"/>
          <c:x val="0.29138054110018397"/>
          <c:y val="2.4844720496894412E-2"/>
        </c:manualLayout>
      </c:layout>
      <c:overlay val="0"/>
    </c:title>
    <c:autoTitleDeleted val="0"/>
    <c:plotArea>
      <c:layout>
        <c:manualLayout>
          <c:layoutTarget val="inner"/>
          <c:xMode val="edge"/>
          <c:yMode val="edge"/>
          <c:x val="9.8450445981236215E-2"/>
          <c:y val="0.16517857142857043"/>
          <c:w val="0.87205743285618254"/>
          <c:h val="0.67857142857143171"/>
        </c:manualLayout>
      </c:layout>
      <c:scatterChart>
        <c:scatterStyle val="lineMarker"/>
        <c:varyColors val="0"/>
        <c:ser>
          <c:idx val="0"/>
          <c:order val="0"/>
          <c:spPr>
            <a:effectLst>
              <a:outerShdw blurRad="50800" dist="38100" algn="l" rotWithShape="0">
                <a:prstClr val="black">
                  <a:alpha val="40000"/>
                </a:prstClr>
              </a:outerShdw>
            </a:effectLst>
          </c:spPr>
          <c:marker>
            <c:spPr>
              <a:ln>
                <a:solidFill>
                  <a:srgbClr val="000000"/>
                </a:solidFill>
              </a:ln>
              <a:effectLst>
                <a:outerShdw blurRad="50800" dist="38100" algn="l" rotWithShape="0">
                  <a:prstClr val="black">
                    <a:alpha val="40000"/>
                  </a:prstClr>
                </a:outerShdw>
              </a:effectLst>
            </c:spPr>
          </c:marker>
          <c:xVal>
            <c:numRef>
              <c:f>Report!$L$9:$L$52</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xVal>
          <c:yVal>
            <c:numRef>
              <c:f>Report!$K$9:$K$52</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ser>
        <c:dLbls>
          <c:showLegendKey val="0"/>
          <c:showVal val="0"/>
          <c:showCatName val="0"/>
          <c:showSerName val="0"/>
          <c:showPercent val="0"/>
          <c:showBubbleSize val="0"/>
        </c:dLbls>
        <c:axId val="429872240"/>
        <c:axId val="429872632"/>
      </c:scatterChart>
      <c:valAx>
        <c:axId val="429872240"/>
        <c:scaling>
          <c:logBase val="10"/>
          <c:orientation val="minMax"/>
          <c:max val="1000"/>
          <c:min val="0.1"/>
        </c:scaling>
        <c:delete val="0"/>
        <c:axPos val="b"/>
        <c:majorGridlines/>
        <c:minorGridlines/>
        <c:numFmt formatCode="0_);\(0\)" sourceLinked="0"/>
        <c:majorTickMark val="out"/>
        <c:minorTickMark val="none"/>
        <c:tickLblPos val="nextTo"/>
        <c:txPr>
          <a:bodyPr rot="0" vert="horz"/>
          <a:lstStyle/>
          <a:p>
            <a:pPr>
              <a:defRPr sz="1200" baseline="0"/>
            </a:pPr>
            <a:endParaRPr lang="en-US"/>
          </a:p>
        </c:txPr>
        <c:crossAx val="429872632"/>
        <c:crosses val="autoZero"/>
        <c:crossBetween val="midCat"/>
      </c:valAx>
      <c:valAx>
        <c:axId val="429872632"/>
        <c:scaling>
          <c:orientation val="minMax"/>
          <c:max val="1"/>
        </c:scaling>
        <c:delete val="0"/>
        <c:axPos val="l"/>
        <c:majorGridlines/>
        <c:numFmt formatCode="0%" sourceLinked="0"/>
        <c:majorTickMark val="out"/>
        <c:minorTickMark val="none"/>
        <c:tickLblPos val="nextTo"/>
        <c:txPr>
          <a:bodyPr rot="0" vert="horz"/>
          <a:lstStyle/>
          <a:p>
            <a:pPr>
              <a:defRPr sz="1200" baseline="0"/>
            </a:pPr>
            <a:endParaRPr lang="en-US"/>
          </a:p>
        </c:txPr>
        <c:crossAx val="429872240"/>
        <c:crossesAt val="0.1"/>
        <c:crossBetween val="midCat"/>
      </c:valAx>
      <c:spPr>
        <a:solidFill>
          <a:srgbClr val="9BBB59">
            <a:lumMod val="20000"/>
            <a:lumOff val="80000"/>
          </a:srgbClr>
        </a:solidFill>
      </c:spPr>
    </c:plotArea>
    <c:plotVisOnly val="1"/>
    <c:dispBlanksAs val="gap"/>
    <c:showDLblsOverMax val="0"/>
  </c:chart>
  <c:spPr>
    <a:effectLst>
      <a:outerShdw blurRad="50800" dist="38100" dir="2700000" algn="tl" rotWithShape="0">
        <a:prstClr val="black">
          <a:alpha val="40000"/>
        </a:prstClr>
      </a:outerShdw>
    </a:effectLst>
  </c:spPr>
  <c:printSettings>
    <c:headerFooter alignWithMargins="0"/>
    <c:pageMargins b="1" l="0.75000000000000255" r="0.75000000000000255" t="1" header="0.5" footer="0.5"/>
    <c:pageSetup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142875</xdr:rowOff>
    </xdr:from>
    <xdr:to>
      <xdr:col>12</xdr:col>
      <xdr:colOff>142875</xdr:colOff>
      <xdr:row>41</xdr:row>
      <xdr:rowOff>142875</xdr:rowOff>
    </xdr:to>
    <xdr:sp macro="" textlink="">
      <xdr:nvSpPr>
        <xdr:cNvPr id="2" name="TextBox 1"/>
        <xdr:cNvSpPr txBox="1"/>
      </xdr:nvSpPr>
      <xdr:spPr>
        <a:xfrm>
          <a:off x="38100" y="142875"/>
          <a:ext cx="7419975" cy="781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600" b="1">
              <a:solidFill>
                <a:schemeClr val="dk1"/>
              </a:solidFill>
              <a:latin typeface="+mn-lt"/>
              <a:ea typeface="+mn-ea"/>
              <a:cs typeface="+mn-cs"/>
            </a:rPr>
            <a:t>Instructions for using LISST-Portable|XR Excel Template</a:t>
          </a:r>
          <a:endParaRPr lang="en-US" sz="1600"/>
        </a:p>
        <a:p>
          <a:endParaRPr lang="en-US" sz="1100">
            <a:solidFill>
              <a:schemeClr val="dk1"/>
            </a:solidFill>
            <a:latin typeface="+mn-lt"/>
            <a:ea typeface="+mn-ea"/>
            <a:cs typeface="+mn-cs"/>
          </a:endParaRPr>
        </a:p>
        <a:p>
          <a:r>
            <a:rPr lang="en-US" sz="1100">
              <a:solidFill>
                <a:schemeClr val="dk1"/>
              </a:solidFill>
              <a:latin typeface="+mn-lt"/>
              <a:ea typeface="+mn-ea"/>
              <a:cs typeface="+mn-cs"/>
            </a:rPr>
            <a:t>This template uses custom</a:t>
          </a:r>
          <a:r>
            <a:rPr lang="en-US" sz="1100" baseline="0">
              <a:solidFill>
                <a:schemeClr val="dk1"/>
              </a:solidFill>
              <a:latin typeface="+mn-lt"/>
              <a:ea typeface="+mn-ea"/>
              <a:cs typeface="+mn-cs"/>
            </a:rPr>
            <a:t> controls and macros to simplfy the process of importing data from downloaded LISST-Portable|XR data files.  Depending upon the security settings implemented in Excel enabling macros may not be allowed.  The first time this template is used you may get a warning similar to the one shown below.</a:t>
          </a:r>
        </a:p>
        <a:p>
          <a:endParaRPr lang="en-US" sz="1100" baseline="0">
            <a:solidFill>
              <a:schemeClr val="dk1"/>
            </a:solidFill>
            <a:latin typeface="+mn-lt"/>
            <a:ea typeface="+mn-ea"/>
            <a:cs typeface="+mn-cs"/>
          </a:endParaRPr>
        </a:p>
        <a:p>
          <a:endParaRPr lang="en-US" sz="1100" baseline="0">
            <a:solidFill>
              <a:schemeClr val="dk1"/>
            </a:solidFill>
            <a:latin typeface="+mn-lt"/>
            <a:ea typeface="+mn-ea"/>
            <a:cs typeface="+mn-cs"/>
          </a:endParaRPr>
        </a:p>
        <a:p>
          <a:r>
            <a:rPr lang="en-US" sz="1100">
              <a:solidFill>
                <a:schemeClr val="dk1"/>
              </a:solidFill>
              <a:latin typeface="+mn-lt"/>
              <a:ea typeface="+mn-ea"/>
              <a:cs typeface="+mn-cs"/>
            </a:rPr>
            <a:t>Click on</a:t>
          </a:r>
          <a:r>
            <a:rPr lang="en-US" sz="1100" baseline="0">
              <a:solidFill>
                <a:schemeClr val="dk1"/>
              </a:solidFill>
              <a:latin typeface="+mn-lt"/>
              <a:ea typeface="+mn-ea"/>
              <a:cs typeface="+mn-cs"/>
            </a:rPr>
            <a:t> Enable Content to access the full functionality of this template.</a:t>
          </a:r>
          <a:r>
            <a:rPr lang="en-US" sz="1100">
              <a:solidFill>
                <a:schemeClr val="dk1"/>
              </a:solidFill>
              <a:latin typeface="+mn-lt"/>
              <a:ea typeface="+mn-ea"/>
              <a:cs typeface="+mn-cs"/>
            </a:rPr>
            <a:t>  If</a:t>
          </a:r>
          <a:r>
            <a:rPr lang="en-US" sz="1100" baseline="0">
              <a:solidFill>
                <a:schemeClr val="dk1"/>
              </a:solidFill>
              <a:latin typeface="+mn-lt"/>
              <a:ea typeface="+mn-ea"/>
              <a:cs typeface="+mn-cs"/>
            </a:rPr>
            <a:t> the security settings do not allow the use of macros you can use the alternate Excel template that does not use Macros.</a:t>
          </a:r>
          <a:endParaRPr lang="en-US"/>
        </a:p>
        <a:p>
          <a:endParaRPr lang="en-US" sz="1100">
            <a:solidFill>
              <a:schemeClr val="dk1"/>
            </a:solidFill>
            <a:latin typeface="+mn-lt"/>
            <a:ea typeface="+mn-ea"/>
            <a:cs typeface="+mn-cs"/>
          </a:endParaRPr>
        </a:p>
        <a:p>
          <a:r>
            <a:rPr lang="en-US" sz="1100" b="1">
              <a:solidFill>
                <a:schemeClr val="dk1"/>
              </a:solidFill>
              <a:latin typeface="+mn-lt"/>
              <a:ea typeface="+mn-ea"/>
              <a:cs typeface="+mn-cs"/>
            </a:rPr>
            <a:t>Step 1: Create new document using LISST-Portable Excel Template document.</a:t>
          </a:r>
          <a:endParaRPr lang="en-US" sz="1100">
            <a:solidFill>
              <a:schemeClr val="dk1"/>
            </a:solidFill>
            <a:latin typeface="+mn-lt"/>
            <a:ea typeface="+mn-ea"/>
            <a:cs typeface="+mn-cs"/>
          </a:endParaRPr>
        </a:p>
        <a:p>
          <a:r>
            <a:rPr lang="en-US" sz="1100">
              <a:solidFill>
                <a:schemeClr val="dk1"/>
              </a:solidFill>
              <a:latin typeface="+mn-lt"/>
              <a:ea typeface="+mn-ea"/>
              <a:cs typeface="+mn-cs"/>
            </a:rPr>
            <a:t>The provided template (*.xltx) file should be loaded into the template folder of Excel for easier access.  This can be done by opening the provided file and the select “Save As” from the Main menu and choosing “Excel Template” in the “Save as Type” box.  This will automatically save the file in the templates folder.  It will then be available under “My Templates” of the New file screen.  You can also create a New document using the provided file as a template by selecting "New from Existing" in the upper left section of the New file dialog box.  </a:t>
          </a:r>
          <a:endParaRPr lang="en-US"/>
        </a:p>
        <a:p>
          <a:endParaRPr lang="en-US" sz="1100">
            <a:solidFill>
              <a:schemeClr val="dk1"/>
            </a:solidFill>
            <a:latin typeface="+mn-lt"/>
            <a:ea typeface="+mn-ea"/>
            <a:cs typeface="+mn-cs"/>
          </a:endParaRPr>
        </a:p>
        <a:p>
          <a:r>
            <a:rPr lang="en-US" sz="1100" b="1">
              <a:solidFill>
                <a:schemeClr val="dk1"/>
              </a:solidFill>
              <a:latin typeface="+mn-lt"/>
              <a:ea typeface="+mn-ea"/>
              <a:cs typeface="+mn-cs"/>
            </a:rPr>
            <a:t>Step 2:  Import processed results into Excel</a:t>
          </a:r>
          <a:r>
            <a:rPr lang="en-US" sz="1100" b="1" baseline="0">
              <a:solidFill>
                <a:schemeClr val="dk1"/>
              </a:solidFill>
              <a:latin typeface="+mn-lt"/>
              <a:ea typeface="+mn-ea"/>
              <a:cs typeface="+mn-cs"/>
            </a:rPr>
            <a:t> Worksheet using the Load File button</a:t>
          </a:r>
          <a:endParaRPr lang="en-US" sz="1100">
            <a:solidFill>
              <a:schemeClr val="dk1"/>
            </a:solidFill>
            <a:latin typeface="+mn-lt"/>
            <a:ea typeface="+mn-ea"/>
            <a:cs typeface="+mn-cs"/>
          </a:endParaRPr>
        </a:p>
        <a:p>
          <a:r>
            <a:rPr lang="en-US" sz="1100">
              <a:solidFill>
                <a:schemeClr val="dk1"/>
              </a:solidFill>
              <a:latin typeface="+mn-lt"/>
              <a:ea typeface="+mn-ea"/>
              <a:cs typeface="+mn-cs"/>
            </a:rPr>
            <a:t>Select the Report tab at the bottom</a:t>
          </a:r>
          <a:r>
            <a:rPr lang="en-US" sz="1100" baseline="0">
              <a:solidFill>
                <a:schemeClr val="dk1"/>
              </a:solidFill>
              <a:latin typeface="+mn-lt"/>
              <a:ea typeface="+mn-ea"/>
              <a:cs typeface="+mn-cs"/>
            </a:rPr>
            <a:t> of the screen.  The empty report page should be displayed.  In the upper right corner is a "Load Files..." button.   Press the the button to bring up the file selection window.  Choose the file you wish to load and press OK.  The processed data automatically loads and fills in the report.</a:t>
          </a:r>
        </a:p>
        <a:p>
          <a:endParaRPr lang="en-US" sz="1100">
            <a:solidFill>
              <a:schemeClr val="dk1"/>
            </a:solidFill>
            <a:latin typeface="+mn-lt"/>
            <a:ea typeface="+mn-ea"/>
            <a:cs typeface="+mn-cs"/>
          </a:endParaRPr>
        </a:p>
        <a:p>
          <a:r>
            <a:rPr lang="en-US" sz="1100" b="1">
              <a:solidFill>
                <a:schemeClr val="dk1"/>
              </a:solidFill>
              <a:latin typeface="+mn-lt"/>
              <a:ea typeface="+mn-ea"/>
              <a:cs typeface="+mn-cs"/>
            </a:rPr>
            <a:t>Step 3: Add additional information on individual samples as desired</a:t>
          </a:r>
          <a:endParaRPr lang="en-US" sz="1100">
            <a:solidFill>
              <a:schemeClr val="dk1"/>
            </a:solidFill>
            <a:latin typeface="+mn-lt"/>
            <a:ea typeface="+mn-ea"/>
            <a:cs typeface="+mn-cs"/>
          </a:endParaRPr>
        </a:p>
        <a:p>
          <a:r>
            <a:rPr lang="en-US" sz="1100">
              <a:solidFill>
                <a:schemeClr val="dk1"/>
              </a:solidFill>
              <a:latin typeface="+mn-lt"/>
              <a:ea typeface="+mn-ea"/>
              <a:cs typeface="+mn-cs"/>
            </a:rPr>
            <a:t>While processing samples on the LISST-Portable it is possible to save a Note with each sample.  Due to the limited space and on-screen keyboard these notes may not contain all the information about the samples.   The Report will display the Note that is stored with the sample.  It can also display a more detailed description for each sample.  This extended information can be manually entered in column BN of the Raw Data tab which is just to the right of the Sample Notes.</a:t>
          </a:r>
          <a:endParaRPr lang="en-US"/>
        </a:p>
        <a:p>
          <a:endParaRPr lang="en-US" sz="1100">
            <a:solidFill>
              <a:schemeClr val="dk1"/>
            </a:solidFill>
            <a:latin typeface="+mn-lt"/>
            <a:ea typeface="+mn-ea"/>
            <a:cs typeface="+mn-cs"/>
          </a:endParaRPr>
        </a:p>
        <a:p>
          <a:r>
            <a:rPr lang="en-US" sz="1100" b="1">
              <a:solidFill>
                <a:schemeClr val="dk1"/>
              </a:solidFill>
              <a:latin typeface="+mn-lt"/>
              <a:ea typeface="+mn-ea"/>
              <a:cs typeface="+mn-cs"/>
            </a:rPr>
            <a:t>Step 4: Select Sample to display and Print Report</a:t>
          </a:r>
          <a:endParaRPr lang="en-US" sz="1100">
            <a:solidFill>
              <a:schemeClr val="dk1"/>
            </a:solidFill>
            <a:latin typeface="+mn-lt"/>
            <a:ea typeface="+mn-ea"/>
            <a:cs typeface="+mn-cs"/>
          </a:endParaRPr>
        </a:p>
        <a:p>
          <a:r>
            <a:rPr lang="en-US" sz="1100">
              <a:solidFill>
                <a:schemeClr val="dk1"/>
              </a:solidFill>
              <a:latin typeface="+mn-lt"/>
              <a:ea typeface="+mn-ea"/>
              <a:cs typeface="+mn-cs"/>
            </a:rPr>
            <a:t>The Report tab will now display the Report showing the Size Distribution and the Cumulative Size Distribution. The LISST-Portable|XR has the option to store multiple samples to a single file.  To select which sample is displayed in the Report, enter the desired sample number in cell C2 of the Report. You can also use the arrow</a:t>
          </a:r>
          <a:r>
            <a:rPr lang="en-US" sz="1100" baseline="0">
              <a:solidFill>
                <a:schemeClr val="dk1"/>
              </a:solidFill>
              <a:latin typeface="+mn-lt"/>
              <a:ea typeface="+mn-ea"/>
              <a:cs typeface="+mn-cs"/>
            </a:rPr>
            <a:t> buttons to the right of cell C2 to select the sample to be displayed.</a:t>
          </a:r>
          <a:endParaRPr lang="en-US"/>
        </a:p>
        <a:p>
          <a:r>
            <a:rPr lang="en-US" sz="1100">
              <a:solidFill>
                <a:schemeClr val="dk1"/>
              </a:solidFill>
              <a:latin typeface="+mn-lt"/>
              <a:ea typeface="+mn-ea"/>
              <a:cs typeface="+mn-cs"/>
            </a:rPr>
            <a:t>The report can now be printed by selecting Print or Print Preview from the Main menu or by pressing Alt+F+P.  You can also save the report as a PDF using "Save As PDF" button and selecting a file name and location. </a:t>
          </a:r>
          <a:r>
            <a:rPr lang="en-US" sz="1100" baseline="0">
              <a:solidFill>
                <a:schemeClr val="dk1"/>
              </a:solidFill>
              <a:latin typeface="+mn-lt"/>
              <a:ea typeface="+mn-ea"/>
              <a:cs typeface="+mn-cs"/>
            </a:rPr>
            <a:t>Please note that only the current sample displayed will be printed to saved to a PDF file.</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r>
            <a:rPr lang="en-US" sz="1100" b="1">
              <a:solidFill>
                <a:schemeClr val="dk1"/>
              </a:solidFill>
              <a:latin typeface="+mn-lt"/>
              <a:ea typeface="+mn-ea"/>
              <a:cs typeface="+mn-cs"/>
            </a:rPr>
            <a:t>Customizing</a:t>
          </a:r>
          <a:r>
            <a:rPr lang="en-US" sz="1100" b="1" baseline="0">
              <a:solidFill>
                <a:schemeClr val="dk1"/>
              </a:solidFill>
              <a:latin typeface="+mn-lt"/>
              <a:ea typeface="+mn-ea"/>
              <a:cs typeface="+mn-cs"/>
            </a:rPr>
            <a:t> Report</a:t>
          </a:r>
        </a:p>
        <a:p>
          <a:r>
            <a:rPr lang="en-US" sz="1100" b="0" baseline="0">
              <a:solidFill>
                <a:schemeClr val="dk1"/>
              </a:solidFill>
              <a:latin typeface="+mn-lt"/>
              <a:ea typeface="+mn-ea"/>
              <a:cs typeface="+mn-cs"/>
            </a:rPr>
            <a:t>The provided template has some cells locked to protect from accidental changes to the formulas in the cells.  If  the template is to be customized you must first unprotect the sheet to have full access to the cells.  First create a back up copy of the template that can be used as a reference.  To unprotect the sheet, choose Format from the Cells section of the Home menu.  Then select Unprotect Sheet.  Changes can now be made.  </a:t>
          </a:r>
          <a:endParaRPr lang="en-US" sz="1100" b="0">
            <a:solidFill>
              <a:schemeClr val="dk1"/>
            </a:solidFill>
            <a:latin typeface="+mn-lt"/>
            <a:ea typeface="+mn-ea"/>
            <a:cs typeface="+mn-cs"/>
          </a:endParaRPr>
        </a:p>
      </xdr:txBody>
    </xdr:sp>
    <xdr:clientData/>
  </xdr:twoCellAnchor>
  <xdr:twoCellAnchor editAs="oneCell">
    <xdr:from>
      <xdr:col>0</xdr:col>
      <xdr:colOff>266700</xdr:colOff>
      <xdr:row>6</xdr:row>
      <xdr:rowOff>19050</xdr:rowOff>
    </xdr:from>
    <xdr:to>
      <xdr:col>10</xdr:col>
      <xdr:colOff>132605</xdr:colOff>
      <xdr:row>7</xdr:row>
      <xdr:rowOff>95217</xdr:rowOff>
    </xdr:to>
    <xdr:pic>
      <xdr:nvPicPr>
        <xdr:cNvPr id="3" name="Picture 2"/>
        <xdr:cNvPicPr>
          <a:picLocks noChangeAspect="1"/>
        </xdr:cNvPicPr>
      </xdr:nvPicPr>
      <xdr:blipFill>
        <a:blip xmlns:r="http://schemas.openxmlformats.org/officeDocument/2006/relationships" r:embed="rId1"/>
        <a:stretch>
          <a:fillRect/>
        </a:stretch>
      </xdr:blipFill>
      <xdr:spPr>
        <a:xfrm>
          <a:off x="266700" y="1162050"/>
          <a:ext cx="5961905" cy="2666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0</xdr:rowOff>
    </xdr:from>
    <xdr:to>
      <xdr:col>6</xdr:col>
      <xdr:colOff>973905</xdr:colOff>
      <xdr:row>23</xdr:row>
      <xdr:rowOff>181939</xdr:rowOff>
    </xdr:to>
    <xdr:graphicFrame macro="">
      <xdr:nvGraphicFramePr>
        <xdr:cNvPr id="2"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24</xdr:row>
      <xdr:rowOff>47625</xdr:rowOff>
    </xdr:from>
    <xdr:to>
      <xdr:col>6</xdr:col>
      <xdr:colOff>963202</xdr:colOff>
      <xdr:row>40</xdr:row>
      <xdr:rowOff>32107</xdr:rowOff>
    </xdr:to>
    <xdr:graphicFrame macro="">
      <xdr:nvGraphicFramePr>
        <xdr:cNvPr id="3"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173</xdr:colOff>
      <xdr:row>52</xdr:row>
      <xdr:rowOff>33391</xdr:rowOff>
    </xdr:from>
    <xdr:to>
      <xdr:col>11</xdr:col>
      <xdr:colOff>37445</xdr:colOff>
      <xdr:row>57</xdr:row>
      <xdr:rowOff>96319</xdr:rowOff>
    </xdr:to>
    <xdr:pic>
      <xdr:nvPicPr>
        <xdr:cNvPr id="4" name="Picture 13"/>
        <xdr:cNvPicPr>
          <a:picLocks noChangeAspect="1" noChangeArrowheads="1"/>
        </xdr:cNvPicPr>
      </xdr:nvPicPr>
      <xdr:blipFill>
        <a:blip xmlns:r="http://schemas.openxmlformats.org/officeDocument/2006/relationships" r:embed="rId3" cstate="print"/>
        <a:srcRect/>
        <a:stretch>
          <a:fillRect/>
        </a:stretch>
      </xdr:blipFill>
      <xdr:spPr bwMode="auto">
        <a:xfrm>
          <a:off x="7288403" y="12308869"/>
          <a:ext cx="3215840" cy="1240175"/>
        </a:xfrm>
        <a:prstGeom prst="rect">
          <a:avLst/>
        </a:prstGeom>
        <a:noFill/>
      </xdr:spPr>
    </xdr:pic>
    <xdr:clientData/>
  </xdr:twoCellAnchor>
  <xdr:twoCellAnchor>
    <xdr:from>
      <xdr:col>3</xdr:col>
      <xdr:colOff>172625</xdr:colOff>
      <xdr:row>57</xdr:row>
      <xdr:rowOff>92893</xdr:rowOff>
    </xdr:from>
    <xdr:to>
      <xdr:col>8</xdr:col>
      <xdr:colOff>577704</xdr:colOff>
      <xdr:row>62</xdr:row>
      <xdr:rowOff>57362</xdr:rowOff>
    </xdr:to>
    <xdr:sp macro="" textlink="">
      <xdr:nvSpPr>
        <xdr:cNvPr id="5" name="TextBox 4"/>
        <xdr:cNvSpPr txBox="1"/>
      </xdr:nvSpPr>
      <xdr:spPr>
        <a:xfrm>
          <a:off x="4239479" y="13545618"/>
          <a:ext cx="3626455" cy="101328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latin typeface="+mn-lt"/>
              <a:ea typeface="+mn-ea"/>
              <a:cs typeface="+mn-cs"/>
            </a:rPr>
            <a:t>Analysis performed using laser diffraction techniques as described in AWWA Standard No. 2560D and ISO-13320-1.  Instrumentation calibrated using NIST traceable standard particles.</a:t>
          </a:r>
          <a:endParaRPr lang="en-US" sz="1100"/>
        </a:p>
      </xdr:txBody>
    </xdr:sp>
    <xdr:clientData/>
  </xdr:twoCellAnchor>
  <xdr:twoCellAnchor>
    <xdr:from>
      <xdr:col>8</xdr:col>
      <xdr:colOff>687407</xdr:colOff>
      <xdr:row>57</xdr:row>
      <xdr:rowOff>123718</xdr:rowOff>
    </xdr:from>
    <xdr:to>
      <xdr:col>10</xdr:col>
      <xdr:colOff>542282</xdr:colOff>
      <xdr:row>60</xdr:row>
      <xdr:rowOff>26328</xdr:rowOff>
    </xdr:to>
    <xdr:sp macro="" textlink="">
      <xdr:nvSpPr>
        <xdr:cNvPr id="6" name="TextBox 5"/>
        <xdr:cNvSpPr txBox="1"/>
      </xdr:nvSpPr>
      <xdr:spPr>
        <a:xfrm>
          <a:off x="7975637" y="13576443"/>
          <a:ext cx="1931111" cy="566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latin typeface="Arial Black" pitchFamily="34" charset="0"/>
            </a:rPr>
            <a:t>Sequoia Scientific,</a:t>
          </a:r>
          <a:r>
            <a:rPr lang="en-US" sz="1100" baseline="0">
              <a:latin typeface="Arial Black" pitchFamily="34" charset="0"/>
            </a:rPr>
            <a:t> Inc</a:t>
          </a:r>
        </a:p>
        <a:p>
          <a:r>
            <a:rPr lang="en-US" sz="1100" baseline="0">
              <a:latin typeface="Arial Black" pitchFamily="34" charset="0"/>
            </a:rPr>
            <a:t>www.SequoiaSci.com</a:t>
          </a:r>
        </a:p>
        <a:p>
          <a:endParaRPr lang="en-US" sz="1100"/>
        </a:p>
      </xdr:txBody>
    </xdr:sp>
    <xdr:clientData/>
  </xdr:twoCellAnchor>
  <xdr:twoCellAnchor>
    <xdr:from>
      <xdr:col>0</xdr:col>
      <xdr:colOff>152398</xdr:colOff>
      <xdr:row>61</xdr:row>
      <xdr:rowOff>84442</xdr:rowOff>
    </xdr:from>
    <xdr:to>
      <xdr:col>10</xdr:col>
      <xdr:colOff>1006011</xdr:colOff>
      <xdr:row>67</xdr:row>
      <xdr:rowOff>21405</xdr:rowOff>
    </xdr:to>
    <xdr:sp macro="" textlink="">
      <xdr:nvSpPr>
        <xdr:cNvPr id="7" name="TextBox 6"/>
        <xdr:cNvSpPr txBox="1"/>
      </xdr:nvSpPr>
      <xdr:spPr>
        <a:xfrm>
          <a:off x="152398" y="14393346"/>
          <a:ext cx="10218079" cy="1092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i="0" u="none" strike="noStrike">
              <a:solidFill>
                <a:schemeClr val="dk1"/>
              </a:solidFill>
              <a:latin typeface="+mn-lt"/>
              <a:ea typeface="+mn-ea"/>
              <a:cs typeface="+mn-cs"/>
            </a:rPr>
            <a:t>Additional Sample Notes:</a:t>
          </a:r>
          <a:r>
            <a:rPr lang="en-US"/>
            <a:t> </a:t>
          </a:r>
        </a:p>
        <a:p>
          <a:endParaRPr lang="en-US" sz="1100"/>
        </a:p>
        <a:p>
          <a:endParaRPr lang="en-US" sz="1100"/>
        </a:p>
      </xdr:txBody>
    </xdr:sp>
    <xdr:clientData/>
  </xdr:twoCellAnchor>
  <mc:AlternateContent xmlns:mc="http://schemas.openxmlformats.org/markup-compatibility/2006">
    <mc:Choice xmlns:a14="http://schemas.microsoft.com/office/drawing/2010/main" Requires="a14">
      <xdr:twoCellAnchor>
        <xdr:from>
          <xdr:col>9</xdr:col>
          <xdr:colOff>38100</xdr:colOff>
          <xdr:row>1</xdr:row>
          <xdr:rowOff>142875</xdr:rowOff>
        </xdr:from>
        <xdr:to>
          <xdr:col>10</xdr:col>
          <xdr:colOff>704850</xdr:colOff>
          <xdr:row>3</xdr:row>
          <xdr:rowOff>57150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Load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xdr:row>
          <xdr:rowOff>9525</xdr:rowOff>
        </xdr:from>
        <xdr:to>
          <xdr:col>4</xdr:col>
          <xdr:colOff>523875</xdr:colOff>
          <xdr:row>2</xdr:row>
          <xdr:rowOff>0</xdr:rowOff>
        </xdr:to>
        <xdr:sp macro="" textlink="">
          <xdr:nvSpPr>
            <xdr:cNvPr id="1076" name="ScrollBar1" hidden="1">
              <a:extLst>
                <a:ext uri="{63B3BB69-23CF-44E3-9099-C40C66FF867C}">
                  <a14:compatExt spid="_x0000_s1076"/>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xdr:row>
          <xdr:rowOff>171450</xdr:rowOff>
        </xdr:from>
        <xdr:to>
          <xdr:col>10</xdr:col>
          <xdr:colOff>704850</xdr:colOff>
          <xdr:row>5</xdr:row>
          <xdr:rowOff>85725</xdr:rowOff>
        </xdr:to>
        <xdr:sp macro="" textlink="">
          <xdr:nvSpPr>
            <xdr:cNvPr id="1077" name="Button 53" hidden="1">
              <a:extLst>
                <a:ext uri="{63B3BB69-23CF-44E3-9099-C40C66FF867C}">
                  <a14:compatExt spid="_x0000_s107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Save as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2.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zoomScaleNormal="100" workbookViewId="0">
      <selection activeCell="O24" sqref="O24"/>
    </sheetView>
  </sheetViews>
  <sheetFormatPr defaultRowHeight="15" x14ac:dyDescent="0.25"/>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L57"/>
  <sheetViews>
    <sheetView showGridLines="0" tabSelected="1" zoomScale="90" zoomScaleNormal="90" workbookViewId="0">
      <selection activeCell="D6" sqref="D6"/>
    </sheetView>
  </sheetViews>
  <sheetFormatPr defaultRowHeight="15" x14ac:dyDescent="0.25"/>
  <cols>
    <col min="1" max="1" width="26" customWidth="1"/>
    <col min="2" max="2" width="17" customWidth="1"/>
    <col min="3" max="3" width="13.7109375" customWidth="1"/>
    <col min="4" max="4" width="3.140625" customWidth="1"/>
    <col min="5" max="5" width="17.140625" customWidth="1"/>
    <col min="6" max="7" width="15" customWidth="1"/>
    <col min="8" max="8" width="3" customWidth="1"/>
    <col min="9" max="9" width="15.85546875" customWidth="1"/>
    <col min="10" max="10" width="15.28515625" customWidth="1"/>
    <col min="11" max="11" width="16.5703125" customWidth="1"/>
  </cols>
  <sheetData>
    <row r="1" spans="1:12" ht="38.25" customHeight="1" x14ac:dyDescent="0.7">
      <c r="B1" s="4" t="s">
        <v>41</v>
      </c>
    </row>
    <row r="2" spans="1:12" s="5" customFormat="1" ht="19.5" customHeight="1" x14ac:dyDescent="0.25">
      <c r="A2" s="27" t="s">
        <v>47</v>
      </c>
      <c r="B2" s="47">
        <v>1</v>
      </c>
      <c r="C2" s="6"/>
      <c r="D2" s="28"/>
      <c r="E2" s="7"/>
      <c r="F2" s="6"/>
      <c r="G2" s="6"/>
      <c r="H2" s="6"/>
      <c r="I2" s="6"/>
      <c r="J2" s="6"/>
      <c r="K2" s="8"/>
    </row>
    <row r="3" spans="1:12" s="5" customFormat="1" ht="19.5" customHeight="1" x14ac:dyDescent="0.25">
      <c r="A3" s="43" t="s">
        <v>42</v>
      </c>
      <c r="B3" s="44">
        <f ca="1">OFFSET('ASCII Data'!BO6,(B2-1),0,1,1)</f>
        <v>0</v>
      </c>
      <c r="C3" s="38"/>
      <c r="D3" s="38"/>
      <c r="E3" s="10"/>
      <c r="F3" s="9"/>
      <c r="G3" s="9"/>
      <c r="H3" s="9"/>
      <c r="I3" s="9"/>
      <c r="J3" s="9"/>
      <c r="K3" s="11"/>
    </row>
    <row r="4" spans="1:12" s="5" customFormat="1" ht="19.5" customHeight="1" x14ac:dyDescent="0.25">
      <c r="A4" s="43" t="s">
        <v>45</v>
      </c>
      <c r="B4" s="44">
        <f ca="1">OFFSET('ASCII Data'!BN6,(B2-1),0,1,1)</f>
        <v>0</v>
      </c>
      <c r="D4" s="38"/>
      <c r="E4" s="48"/>
      <c r="F4" s="9" t="s">
        <v>48</v>
      </c>
      <c r="G4" s="51">
        <f ca="1">OFFSET('ASCII Data'!A$6,SampleNumber-1,0,1,1)</f>
        <v>0</v>
      </c>
      <c r="H4" s="9"/>
      <c r="I4" s="9"/>
      <c r="J4" s="9"/>
      <c r="K4" s="11"/>
    </row>
    <row r="5" spans="1:12" s="5" customFormat="1" ht="19.5" customHeight="1" x14ac:dyDescent="0.25">
      <c r="A5" s="43" t="s">
        <v>43</v>
      </c>
      <c r="B5" s="44">
        <f ca="1">OFFSET('ASCII Data'!BP6,(B2-1),0,1,1)</f>
        <v>0</v>
      </c>
      <c r="D5" s="29"/>
      <c r="E5" s="49"/>
      <c r="F5" s="9" t="s">
        <v>49</v>
      </c>
      <c r="G5" s="9">
        <f ca="1">OFFSET('ASCII Data'!B$6,SampleNumber-1,0,1,1)</f>
        <v>0</v>
      </c>
      <c r="H5" s="9"/>
      <c r="I5" s="9"/>
      <c r="J5" s="9"/>
      <c r="K5" s="11"/>
    </row>
    <row r="6" spans="1:12" ht="19.5" customHeight="1" x14ac:dyDescent="0.3">
      <c r="A6" s="45" t="s">
        <v>44</v>
      </c>
      <c r="B6" s="46">
        <f ca="1" xml:space="preserve"> OFFSET('ASCII Data'!BQ6,(B2-1),0,1,1)</f>
        <v>0</v>
      </c>
      <c r="C6" s="12"/>
      <c r="D6" s="30"/>
      <c r="E6" s="50"/>
      <c r="F6" s="12"/>
      <c r="G6" s="12"/>
      <c r="H6" s="12"/>
      <c r="I6" s="12"/>
      <c r="J6" s="12"/>
      <c r="K6" s="13"/>
    </row>
    <row r="8" spans="1:12" ht="37.5" x14ac:dyDescent="0.3">
      <c r="I8" s="20" t="s">
        <v>17</v>
      </c>
      <c r="J8" s="20" t="s">
        <v>0</v>
      </c>
      <c r="K8" s="20" t="s">
        <v>1</v>
      </c>
      <c r="L8" s="31" t="s">
        <v>19</v>
      </c>
    </row>
    <row r="9" spans="1:12" ht="18.75" x14ac:dyDescent="0.3">
      <c r="I9" s="14">
        <f>'ASCII Data'!$V$4</f>
        <v>0</v>
      </c>
      <c r="J9" s="39" t="e">
        <f ca="1">OFFSET('ASCII Data'!V6,(B2-1),0,1,1)/B45</f>
        <v>#DIV/0!</v>
      </c>
      <c r="K9" s="15" t="e">
        <f ca="1">J9</f>
        <v>#DIV/0!</v>
      </c>
      <c r="L9" s="32">
        <f>I9*1.0863095</f>
        <v>0</v>
      </c>
    </row>
    <row r="10" spans="1:12" ht="18.75" x14ac:dyDescent="0.3">
      <c r="I10" s="16">
        <f>'ASCII Data'!$W$4</f>
        <v>0</v>
      </c>
      <c r="J10" s="40" t="e">
        <f ca="1">OFFSET('ASCII Data'!W$6,($B$2-1),0,1,1)/B45</f>
        <v>#DIV/0!</v>
      </c>
      <c r="K10" s="17" t="e">
        <f ca="1">K9+J10</f>
        <v>#DIV/0!</v>
      </c>
      <c r="L10" s="32">
        <f t="shared" ref="L10:L52" si="0">I10*1.0863095</f>
        <v>0</v>
      </c>
    </row>
    <row r="11" spans="1:12" ht="18.75" x14ac:dyDescent="0.3">
      <c r="I11" s="14">
        <f>'ASCII Data'!$X$4</f>
        <v>0</v>
      </c>
      <c r="J11" s="39" t="e">
        <f ca="1">OFFSET('ASCII Data'!X$6,($B$2-1),0,1,1)/B45</f>
        <v>#DIV/0!</v>
      </c>
      <c r="K11" s="15" t="e">
        <f t="shared" ref="K11:K52" ca="1" si="1">K10+J11</f>
        <v>#DIV/0!</v>
      </c>
      <c r="L11" s="32">
        <f t="shared" si="0"/>
        <v>0</v>
      </c>
    </row>
    <row r="12" spans="1:12" ht="18.75" x14ac:dyDescent="0.3">
      <c r="I12" s="16">
        <f>'ASCII Data'!$Y$4</f>
        <v>0</v>
      </c>
      <c r="J12" s="40" t="e">
        <f ca="1">OFFSET('ASCII Data'!Y$6,($B$2-1),0,1,1)/B45</f>
        <v>#DIV/0!</v>
      </c>
      <c r="K12" s="17" t="e">
        <f t="shared" ca="1" si="1"/>
        <v>#DIV/0!</v>
      </c>
      <c r="L12" s="32">
        <f t="shared" si="0"/>
        <v>0</v>
      </c>
    </row>
    <row r="13" spans="1:12" ht="18.75" x14ac:dyDescent="0.3">
      <c r="I13" s="14">
        <f>'ASCII Data'!$Z$4</f>
        <v>0</v>
      </c>
      <c r="J13" s="39" t="e">
        <f ca="1">OFFSET('ASCII Data'!Z$6,($B$2-1),0,1,1)/B45</f>
        <v>#DIV/0!</v>
      </c>
      <c r="K13" s="15" t="e">
        <f t="shared" ca="1" si="1"/>
        <v>#DIV/0!</v>
      </c>
      <c r="L13" s="32">
        <f t="shared" si="0"/>
        <v>0</v>
      </c>
    </row>
    <row r="14" spans="1:12" ht="18.75" x14ac:dyDescent="0.3">
      <c r="I14" s="16">
        <f>'ASCII Data'!$AA$4</f>
        <v>0</v>
      </c>
      <c r="J14" s="40" t="e">
        <f ca="1">OFFSET('ASCII Data'!AA$6,($B$2-1),0,1,1)/B45</f>
        <v>#DIV/0!</v>
      </c>
      <c r="K14" s="17" t="e">
        <f ca="1">K13+J14</f>
        <v>#DIV/0!</v>
      </c>
      <c r="L14" s="32">
        <f t="shared" si="0"/>
        <v>0</v>
      </c>
    </row>
    <row r="15" spans="1:12" ht="18.75" x14ac:dyDescent="0.3">
      <c r="I15" s="14">
        <f>'ASCII Data'!$AB$4</f>
        <v>0</v>
      </c>
      <c r="J15" s="39" t="e">
        <f ca="1">OFFSET('ASCII Data'!AB$6,($B$2-1),0,1,1)/B45</f>
        <v>#DIV/0!</v>
      </c>
      <c r="K15" s="15" t="e">
        <f t="shared" ca="1" si="1"/>
        <v>#DIV/0!</v>
      </c>
      <c r="L15" s="32">
        <f t="shared" si="0"/>
        <v>0</v>
      </c>
    </row>
    <row r="16" spans="1:12" ht="18.75" x14ac:dyDescent="0.3">
      <c r="I16" s="16">
        <f>'ASCII Data'!$AC$4</f>
        <v>0</v>
      </c>
      <c r="J16" s="40" t="e">
        <f ca="1">OFFSET('ASCII Data'!AC$6,($B$2-1),0,1,1)/B45</f>
        <v>#DIV/0!</v>
      </c>
      <c r="K16" s="17" t="e">
        <f t="shared" ca="1" si="1"/>
        <v>#DIV/0!</v>
      </c>
      <c r="L16" s="32">
        <f t="shared" si="0"/>
        <v>0</v>
      </c>
    </row>
    <row r="17" spans="9:12" ht="18.75" x14ac:dyDescent="0.3">
      <c r="I17" s="14">
        <f>'ASCII Data'!$AD$4</f>
        <v>0</v>
      </c>
      <c r="J17" s="39" t="e">
        <f ca="1">OFFSET('ASCII Data'!AD$6,($B$2-1),0,1,1)/B45</f>
        <v>#DIV/0!</v>
      </c>
      <c r="K17" s="15" t="e">
        <f t="shared" ca="1" si="1"/>
        <v>#DIV/0!</v>
      </c>
      <c r="L17" s="32">
        <f t="shared" si="0"/>
        <v>0</v>
      </c>
    </row>
    <row r="18" spans="9:12" ht="18.75" x14ac:dyDescent="0.3">
      <c r="I18" s="16">
        <f>'ASCII Data'!$AE$4</f>
        <v>0</v>
      </c>
      <c r="J18" s="40" t="e">
        <f ca="1">OFFSET('ASCII Data'!AE$6,($B$2-1),0,1,1)/B45</f>
        <v>#DIV/0!</v>
      </c>
      <c r="K18" s="17" t="e">
        <f t="shared" ca="1" si="1"/>
        <v>#DIV/0!</v>
      </c>
      <c r="L18" s="32">
        <f t="shared" si="0"/>
        <v>0</v>
      </c>
    </row>
    <row r="19" spans="9:12" ht="18.75" x14ac:dyDescent="0.3">
      <c r="I19" s="14">
        <f>'ASCII Data'!$AF$4</f>
        <v>0</v>
      </c>
      <c r="J19" s="39" t="e">
        <f ca="1">OFFSET('ASCII Data'!AF$6,($B$2-1),0,1,1)/B45</f>
        <v>#DIV/0!</v>
      </c>
      <c r="K19" s="15" t="e">
        <f t="shared" ca="1" si="1"/>
        <v>#DIV/0!</v>
      </c>
      <c r="L19" s="32">
        <f t="shared" si="0"/>
        <v>0</v>
      </c>
    </row>
    <row r="20" spans="9:12" ht="18.75" x14ac:dyDescent="0.3">
      <c r="I20" s="16">
        <f>'ASCII Data'!$AG$4</f>
        <v>0</v>
      </c>
      <c r="J20" s="40" t="e">
        <f ca="1">OFFSET('ASCII Data'!AG$6,($B$2-1),0,1,1)/B45</f>
        <v>#DIV/0!</v>
      </c>
      <c r="K20" s="17" t="e">
        <f t="shared" ca="1" si="1"/>
        <v>#DIV/0!</v>
      </c>
      <c r="L20" s="32">
        <f t="shared" si="0"/>
        <v>0</v>
      </c>
    </row>
    <row r="21" spans="9:12" ht="18.75" x14ac:dyDescent="0.3">
      <c r="I21" s="14">
        <f>'ASCII Data'!$AH$4</f>
        <v>0</v>
      </c>
      <c r="J21" s="39" t="e">
        <f ca="1">OFFSET('ASCII Data'!AH$6,($B$2-1),0,1,1)/B45</f>
        <v>#DIV/0!</v>
      </c>
      <c r="K21" s="15" t="e">
        <f t="shared" ca="1" si="1"/>
        <v>#DIV/0!</v>
      </c>
      <c r="L21" s="32">
        <f t="shared" si="0"/>
        <v>0</v>
      </c>
    </row>
    <row r="22" spans="9:12" ht="18.75" x14ac:dyDescent="0.3">
      <c r="I22" s="16">
        <f>'ASCII Data'!$AI$4</f>
        <v>0</v>
      </c>
      <c r="J22" s="40" t="e">
        <f ca="1">OFFSET('ASCII Data'!AI$6,($B$2-1),0,1,1)/B45</f>
        <v>#DIV/0!</v>
      </c>
      <c r="K22" s="17" t="e">
        <f t="shared" ca="1" si="1"/>
        <v>#DIV/0!</v>
      </c>
      <c r="L22" s="32">
        <f t="shared" si="0"/>
        <v>0</v>
      </c>
    </row>
    <row r="23" spans="9:12" ht="18.75" x14ac:dyDescent="0.3">
      <c r="I23" s="14">
        <f>'ASCII Data'!$AJ$4</f>
        <v>0</v>
      </c>
      <c r="J23" s="39" t="e">
        <f ca="1">OFFSET('ASCII Data'!AJ$6,($B$2-1),0,1,1)/B45</f>
        <v>#DIV/0!</v>
      </c>
      <c r="K23" s="15" t="e">
        <f t="shared" ca="1" si="1"/>
        <v>#DIV/0!</v>
      </c>
      <c r="L23" s="32">
        <f t="shared" si="0"/>
        <v>0</v>
      </c>
    </row>
    <row r="24" spans="9:12" ht="18.75" x14ac:dyDescent="0.3">
      <c r="I24" s="16">
        <f>'ASCII Data'!$AK$4</f>
        <v>0</v>
      </c>
      <c r="J24" s="40" t="e">
        <f ca="1">OFFSET('ASCII Data'!AK$6,($B$2-1),0,1,1)/B45</f>
        <v>#DIV/0!</v>
      </c>
      <c r="K24" s="17" t="e">
        <f t="shared" ca="1" si="1"/>
        <v>#DIV/0!</v>
      </c>
      <c r="L24" s="32">
        <f t="shared" si="0"/>
        <v>0</v>
      </c>
    </row>
    <row r="25" spans="9:12" ht="18.75" x14ac:dyDescent="0.3">
      <c r="I25" s="14">
        <f>'ASCII Data'!$AL$4</f>
        <v>0</v>
      </c>
      <c r="J25" s="39" t="e">
        <f ca="1">OFFSET('ASCII Data'!AL$6,($B$2-1),0,1,1)/B45</f>
        <v>#DIV/0!</v>
      </c>
      <c r="K25" s="15" t="e">
        <f t="shared" ca="1" si="1"/>
        <v>#DIV/0!</v>
      </c>
      <c r="L25" s="32">
        <f t="shared" si="0"/>
        <v>0</v>
      </c>
    </row>
    <row r="26" spans="9:12" ht="18.75" x14ac:dyDescent="0.3">
      <c r="I26" s="16">
        <f>'ASCII Data'!$AM$4</f>
        <v>0</v>
      </c>
      <c r="J26" s="40" t="e">
        <f ca="1">OFFSET('ASCII Data'!AM$6,($B$2-1),0,1,1)/B45</f>
        <v>#DIV/0!</v>
      </c>
      <c r="K26" s="17" t="e">
        <f t="shared" ca="1" si="1"/>
        <v>#DIV/0!</v>
      </c>
      <c r="L26" s="32">
        <f t="shared" si="0"/>
        <v>0</v>
      </c>
    </row>
    <row r="27" spans="9:12" ht="18.75" x14ac:dyDescent="0.3">
      <c r="I27" s="14">
        <f>'ASCII Data'!$AN$4</f>
        <v>0</v>
      </c>
      <c r="J27" s="39" t="e">
        <f ca="1">OFFSET('ASCII Data'!AN$6,($B$2-1),0,1,1)/B45</f>
        <v>#DIV/0!</v>
      </c>
      <c r="K27" s="15" t="e">
        <f t="shared" ca="1" si="1"/>
        <v>#DIV/0!</v>
      </c>
      <c r="L27" s="32">
        <f t="shared" si="0"/>
        <v>0</v>
      </c>
    </row>
    <row r="28" spans="9:12" ht="18.75" x14ac:dyDescent="0.3">
      <c r="I28" s="16">
        <f>'ASCII Data'!$AO$4</f>
        <v>0</v>
      </c>
      <c r="J28" s="40" t="e">
        <f ca="1">OFFSET('ASCII Data'!AO$6,($B$2-1),0,1,1)/B45</f>
        <v>#DIV/0!</v>
      </c>
      <c r="K28" s="17" t="e">
        <f t="shared" ca="1" si="1"/>
        <v>#DIV/0!</v>
      </c>
      <c r="L28" s="32">
        <f t="shared" si="0"/>
        <v>0</v>
      </c>
    </row>
    <row r="29" spans="9:12" ht="18.75" x14ac:dyDescent="0.3">
      <c r="I29" s="14">
        <f>'ASCII Data'!$AP$4</f>
        <v>0</v>
      </c>
      <c r="J29" s="39" t="e">
        <f ca="1">OFFSET('ASCII Data'!AP$6,($B$2-1),0,1,1)/B45</f>
        <v>#DIV/0!</v>
      </c>
      <c r="K29" s="15" t="e">
        <f t="shared" ca="1" si="1"/>
        <v>#DIV/0!</v>
      </c>
      <c r="L29" s="32">
        <f t="shared" si="0"/>
        <v>0</v>
      </c>
    </row>
    <row r="30" spans="9:12" ht="18.75" x14ac:dyDescent="0.3">
      <c r="I30" s="16">
        <f>'ASCII Data'!$AQ$4</f>
        <v>0</v>
      </c>
      <c r="J30" s="40" t="e">
        <f ca="1">OFFSET('ASCII Data'!AQ$6,($B$2-1),0,1,1)/B45</f>
        <v>#DIV/0!</v>
      </c>
      <c r="K30" s="17" t="e">
        <f t="shared" ca="1" si="1"/>
        <v>#DIV/0!</v>
      </c>
      <c r="L30" s="32">
        <f t="shared" si="0"/>
        <v>0</v>
      </c>
    </row>
    <row r="31" spans="9:12" ht="18.75" x14ac:dyDescent="0.3">
      <c r="I31" s="14">
        <f>'ASCII Data'!$AR$4</f>
        <v>0</v>
      </c>
      <c r="J31" s="39" t="e">
        <f ca="1">OFFSET('ASCII Data'!AR$6,($B$2-1),0,1,1)/B45</f>
        <v>#DIV/0!</v>
      </c>
      <c r="K31" s="15" t="e">
        <f t="shared" ca="1" si="1"/>
        <v>#DIV/0!</v>
      </c>
      <c r="L31" s="32">
        <f t="shared" si="0"/>
        <v>0</v>
      </c>
    </row>
    <row r="32" spans="9:12" ht="18.75" x14ac:dyDescent="0.3">
      <c r="I32" s="16">
        <f>'ASCII Data'!$AS$4</f>
        <v>0</v>
      </c>
      <c r="J32" s="40" t="e">
        <f ca="1">OFFSET('ASCII Data'!AS$6,($B$2-1),0,1,1)/B45</f>
        <v>#DIV/0!</v>
      </c>
      <c r="K32" s="17" t="e">
        <f t="shared" ca="1" si="1"/>
        <v>#DIV/0!</v>
      </c>
      <c r="L32" s="32">
        <f t="shared" si="0"/>
        <v>0</v>
      </c>
    </row>
    <row r="33" spans="1:12" ht="18.75" x14ac:dyDescent="0.3">
      <c r="I33" s="14">
        <f>'ASCII Data'!$AT$4</f>
        <v>0</v>
      </c>
      <c r="J33" s="39" t="e">
        <f ca="1">OFFSET('ASCII Data'!AT$6,($B$2-1),0,1,1)/B45</f>
        <v>#DIV/0!</v>
      </c>
      <c r="K33" s="15" t="e">
        <f t="shared" ca="1" si="1"/>
        <v>#DIV/0!</v>
      </c>
      <c r="L33" s="32">
        <f t="shared" si="0"/>
        <v>0</v>
      </c>
    </row>
    <row r="34" spans="1:12" ht="18.75" x14ac:dyDescent="0.3">
      <c r="I34" s="16">
        <f>'ASCII Data'!$AU$4</f>
        <v>0</v>
      </c>
      <c r="J34" s="40" t="e">
        <f ca="1">OFFSET('ASCII Data'!AU$6,($B$2-1),0,1,1)/B45</f>
        <v>#DIV/0!</v>
      </c>
      <c r="K34" s="17" t="e">
        <f t="shared" ca="1" si="1"/>
        <v>#DIV/0!</v>
      </c>
      <c r="L34" s="32">
        <f t="shared" si="0"/>
        <v>0</v>
      </c>
    </row>
    <row r="35" spans="1:12" ht="18.75" x14ac:dyDescent="0.3">
      <c r="I35" s="14">
        <f>'ASCII Data'!$AV$4</f>
        <v>0</v>
      </c>
      <c r="J35" s="39" t="e">
        <f ca="1">OFFSET('ASCII Data'!AV$6,($B$2-1),0,1,1)/B45</f>
        <v>#DIV/0!</v>
      </c>
      <c r="K35" s="15" t="e">
        <f t="shared" ca="1" si="1"/>
        <v>#DIV/0!</v>
      </c>
      <c r="L35" s="32">
        <f t="shared" si="0"/>
        <v>0</v>
      </c>
    </row>
    <row r="36" spans="1:12" ht="18.75" x14ac:dyDescent="0.3">
      <c r="I36" s="16">
        <f>'ASCII Data'!$AW$4</f>
        <v>0</v>
      </c>
      <c r="J36" s="40" t="e">
        <f ca="1">OFFSET('ASCII Data'!AW$6,($B$2-1),0,1,1)/B45</f>
        <v>#DIV/0!</v>
      </c>
      <c r="K36" s="17" t="e">
        <f t="shared" ca="1" si="1"/>
        <v>#DIV/0!</v>
      </c>
      <c r="L36" s="32">
        <f t="shared" si="0"/>
        <v>0</v>
      </c>
    </row>
    <row r="37" spans="1:12" ht="18.75" x14ac:dyDescent="0.3">
      <c r="F37" s="1"/>
      <c r="G37" s="1"/>
      <c r="I37" s="14">
        <f>'ASCII Data'!$AX$4</f>
        <v>0</v>
      </c>
      <c r="J37" s="39" t="e">
        <f ca="1">OFFSET('ASCII Data'!AX$6,($B$2-1),0,1,1)/B45</f>
        <v>#DIV/0!</v>
      </c>
      <c r="K37" s="15" t="e">
        <f t="shared" ca="1" si="1"/>
        <v>#DIV/0!</v>
      </c>
      <c r="L37" s="32">
        <f t="shared" si="0"/>
        <v>0</v>
      </c>
    </row>
    <row r="38" spans="1:12" ht="18.75" x14ac:dyDescent="0.3">
      <c r="F38" s="2"/>
      <c r="G38" s="2"/>
      <c r="I38" s="16">
        <f>'ASCII Data'!$AY$4</f>
        <v>0</v>
      </c>
      <c r="J38" s="40" t="e">
        <f ca="1">OFFSET('ASCII Data'!AY$6,($B$2-1),0,1,1)/B45</f>
        <v>#DIV/0!</v>
      </c>
      <c r="K38" s="17" t="e">
        <f t="shared" ca="1" si="1"/>
        <v>#DIV/0!</v>
      </c>
      <c r="L38" s="32">
        <f t="shared" si="0"/>
        <v>0</v>
      </c>
    </row>
    <row r="39" spans="1:12" ht="18.75" x14ac:dyDescent="0.3">
      <c r="I39" s="14">
        <f>'ASCII Data'!$AZ$4</f>
        <v>0</v>
      </c>
      <c r="J39" s="39" t="e">
        <f ca="1">OFFSET('ASCII Data'!AZ$6,($B$2-1),0,1,1)/B45</f>
        <v>#DIV/0!</v>
      </c>
      <c r="K39" s="15" t="e">
        <f t="shared" ca="1" si="1"/>
        <v>#DIV/0!</v>
      </c>
      <c r="L39" s="32">
        <f t="shared" si="0"/>
        <v>0</v>
      </c>
    </row>
    <row r="40" spans="1:12" ht="18.75" x14ac:dyDescent="0.3">
      <c r="F40" s="1"/>
      <c r="G40" s="1"/>
      <c r="I40" s="16">
        <f>'ASCII Data'!$BA$4</f>
        <v>0</v>
      </c>
      <c r="J40" s="40" t="e">
        <f ca="1">OFFSET('ASCII Data'!BA$6,($B$2-1),0,1,1)/B45</f>
        <v>#DIV/0!</v>
      </c>
      <c r="K40" s="17" t="e">
        <f t="shared" ca="1" si="1"/>
        <v>#DIV/0!</v>
      </c>
      <c r="L40" s="32">
        <f t="shared" si="0"/>
        <v>0</v>
      </c>
    </row>
    <row r="41" spans="1:12" ht="18.75" x14ac:dyDescent="0.3">
      <c r="F41" s="1"/>
      <c r="G41" s="1"/>
      <c r="I41" s="14">
        <f>'ASCII Data'!$BB$4</f>
        <v>0</v>
      </c>
      <c r="J41" s="39" t="e">
        <f ca="1">OFFSET('ASCII Data'!BB$6,($B$2-1),0,1,1)/B45</f>
        <v>#DIV/0!</v>
      </c>
      <c r="K41" s="15" t="e">
        <f t="shared" ca="1" si="1"/>
        <v>#DIV/0!</v>
      </c>
      <c r="L41" s="32">
        <f t="shared" si="0"/>
        <v>0</v>
      </c>
    </row>
    <row r="42" spans="1:12" ht="18.75" x14ac:dyDescent="0.3">
      <c r="F42" s="1"/>
      <c r="G42" s="1"/>
      <c r="I42" s="16">
        <f>'ASCII Data'!$BC$4</f>
        <v>0</v>
      </c>
      <c r="J42" s="40" t="e">
        <f ca="1">OFFSET('ASCII Data'!BC$6,($B$2-1),0,1,1)/B45</f>
        <v>#DIV/0!</v>
      </c>
      <c r="K42" s="17" t="e">
        <f t="shared" ca="1" si="1"/>
        <v>#DIV/0!</v>
      </c>
      <c r="L42" s="32">
        <f t="shared" si="0"/>
        <v>0</v>
      </c>
    </row>
    <row r="43" spans="1:12" ht="20.25" customHeight="1" x14ac:dyDescent="0.3">
      <c r="A43" s="24" t="s">
        <v>2</v>
      </c>
      <c r="B43" s="25"/>
      <c r="C43" s="26"/>
      <c r="E43" s="33" t="s">
        <v>2</v>
      </c>
      <c r="F43" s="25"/>
      <c r="G43" s="26"/>
      <c r="I43" s="14">
        <f>'ASCII Data'!$BD$4</f>
        <v>0</v>
      </c>
      <c r="J43" s="39" t="e">
        <f ca="1">OFFSET('ASCII Data'!BD$6,($B$2-1),0,1,1)/B45</f>
        <v>#DIV/0!</v>
      </c>
      <c r="K43" s="15" t="e">
        <f t="shared" ca="1" si="1"/>
        <v>#DIV/0!</v>
      </c>
      <c r="L43" s="32">
        <f t="shared" si="0"/>
        <v>0</v>
      </c>
    </row>
    <row r="44" spans="1:12" ht="18.75" x14ac:dyDescent="0.3">
      <c r="A44" s="21" t="s">
        <v>5</v>
      </c>
      <c r="B44" s="35">
        <f ca="1">OFFSET('ASCII Data'!C$6,SampleNumber-1,0,1,1)</f>
        <v>0</v>
      </c>
      <c r="C44" s="21" t="s">
        <v>16</v>
      </c>
      <c r="E44" s="23" t="s">
        <v>22</v>
      </c>
      <c r="F44" s="18">
        <f ca="1">OFFSET('ASCII Data'!H$6,SampleNumber-1,0,1,1)</f>
        <v>0</v>
      </c>
      <c r="G44" s="23" t="s">
        <v>15</v>
      </c>
      <c r="I44" s="16">
        <f>'ASCII Data'!$BE$4</f>
        <v>0</v>
      </c>
      <c r="J44" s="40" t="e">
        <f ca="1">OFFSET('ASCII Data'!BE$6,($B$2-1),0,1,1)/B45</f>
        <v>#DIV/0!</v>
      </c>
      <c r="K44" s="17" t="e">
        <f t="shared" ca="1" si="1"/>
        <v>#DIV/0!</v>
      </c>
      <c r="L44" s="32">
        <f t="shared" si="0"/>
        <v>0</v>
      </c>
    </row>
    <row r="45" spans="1:12" ht="18.75" x14ac:dyDescent="0.3">
      <c r="A45" s="22" t="s">
        <v>30</v>
      </c>
      <c r="B45" s="19">
        <f ca="1">OFFSET('ASCII Data'!D$6,SampleNumber-1,0,1,1)</f>
        <v>0</v>
      </c>
      <c r="C45" s="22" t="s">
        <v>20</v>
      </c>
      <c r="E45" s="22" t="s">
        <v>6</v>
      </c>
      <c r="F45" s="19">
        <f ca="1">OFFSET('ASCII Data'!I$6,SampleNumber-1,0,1,1)</f>
        <v>0</v>
      </c>
      <c r="G45" s="22" t="s">
        <v>15</v>
      </c>
      <c r="I45" s="14">
        <f>'ASCII Data'!$BF$4</f>
        <v>0</v>
      </c>
      <c r="J45" s="39" t="e">
        <f ca="1">OFFSET('ASCII Data'!BF$6,($B$2-1),0,1,1)/B45</f>
        <v>#DIV/0!</v>
      </c>
      <c r="K45" s="15" t="e">
        <f t="shared" ca="1" si="1"/>
        <v>#DIV/0!</v>
      </c>
      <c r="L45" s="32">
        <f t="shared" si="0"/>
        <v>0</v>
      </c>
    </row>
    <row r="46" spans="1:12" ht="18.75" x14ac:dyDescent="0.3">
      <c r="A46" s="21" t="s">
        <v>31</v>
      </c>
      <c r="B46" s="36">
        <f ca="1">OFFSET('ASCII Data'!E$6,SampleNumber-1,0,1,1)</f>
        <v>0</v>
      </c>
      <c r="C46" s="21" t="s">
        <v>29</v>
      </c>
      <c r="E46" s="23" t="s">
        <v>7</v>
      </c>
      <c r="F46" s="18">
        <f ca="1">OFFSET('ASCII Data'!J$6,SampleNumber-1,0,1,1)</f>
        <v>0</v>
      </c>
      <c r="G46" s="23" t="s">
        <v>15</v>
      </c>
      <c r="I46" s="16">
        <f>'ASCII Data'!$BG$4</f>
        <v>0</v>
      </c>
      <c r="J46" s="40" t="e">
        <f ca="1">OFFSET('ASCII Data'!BG$6,($B$2-1),0,1,1)/B45</f>
        <v>#DIV/0!</v>
      </c>
      <c r="K46" s="17" t="e">
        <f t="shared" ca="1" si="1"/>
        <v>#DIV/0!</v>
      </c>
      <c r="L46" s="32">
        <f t="shared" si="0"/>
        <v>0</v>
      </c>
    </row>
    <row r="47" spans="1:12" ht="18.75" x14ac:dyDescent="0.3">
      <c r="A47" s="22" t="s">
        <v>3</v>
      </c>
      <c r="B47" s="19">
        <f ca="1">OFFSET('ASCII Data'!F$6,SampleNumber-1,0,1,1)</f>
        <v>0</v>
      </c>
      <c r="C47" s="22" t="s">
        <v>15</v>
      </c>
      <c r="E47" s="22" t="s">
        <v>23</v>
      </c>
      <c r="F47" s="19">
        <f ca="1">OFFSET('ASCII Data'!K$6,SampleNumber-1,0,1,1)</f>
        <v>0</v>
      </c>
      <c r="G47" s="22" t="s">
        <v>15</v>
      </c>
      <c r="I47" s="14">
        <f>'ASCII Data'!$BH$4</f>
        <v>0</v>
      </c>
      <c r="J47" s="39" t="e">
        <f ca="1">OFFSET('ASCII Data'!BH$6,($B$2-1),0,1,1)/B45</f>
        <v>#DIV/0!</v>
      </c>
      <c r="K47" s="15" t="e">
        <f t="shared" ca="1" si="1"/>
        <v>#DIV/0!</v>
      </c>
      <c r="L47" s="32">
        <f t="shared" si="0"/>
        <v>0</v>
      </c>
    </row>
    <row r="48" spans="1:12" ht="18.75" x14ac:dyDescent="0.3">
      <c r="A48" s="21" t="s">
        <v>4</v>
      </c>
      <c r="B48" s="36">
        <f ca="1">OFFSET('ASCII Data'!G$6,SampleNumber-1,0,1,1)</f>
        <v>0</v>
      </c>
      <c r="C48" s="21" t="s">
        <v>15</v>
      </c>
      <c r="E48" s="23" t="s">
        <v>8</v>
      </c>
      <c r="F48" s="18">
        <f ca="1">OFFSET('ASCII Data'!L$6,SampleNumber-1,0,1,1)</f>
        <v>0</v>
      </c>
      <c r="G48" s="23" t="s">
        <v>15</v>
      </c>
      <c r="I48" s="16">
        <f>'ASCII Data'!$BI$4</f>
        <v>0</v>
      </c>
      <c r="J48" s="40" t="e">
        <f ca="1">OFFSET('ASCII Data'!BI$6,($B$2-1),0,1,1)/B45</f>
        <v>#DIV/0!</v>
      </c>
      <c r="K48" s="17" t="e">
        <f t="shared" ca="1" si="1"/>
        <v>#DIV/0!</v>
      </c>
      <c r="L48" s="32">
        <f t="shared" si="0"/>
        <v>0</v>
      </c>
    </row>
    <row r="49" spans="1:12" ht="18.75" x14ac:dyDescent="0.3">
      <c r="A49" s="22" t="s">
        <v>27</v>
      </c>
      <c r="B49" s="37">
        <f ca="1">OFFSET('ASCII Data'!$BR$6,SampleNumber-1,0,1,1)</f>
        <v>0</v>
      </c>
      <c r="C49" s="22"/>
      <c r="E49" s="22" t="s">
        <v>9</v>
      </c>
      <c r="F49" s="19">
        <f ca="1">OFFSET('ASCII Data'!M$6,SampleNumber-1,0,1,1)</f>
        <v>0</v>
      </c>
      <c r="G49" s="22" t="s">
        <v>15</v>
      </c>
      <c r="I49" s="14">
        <f>'ASCII Data'!$BJ$4</f>
        <v>0</v>
      </c>
      <c r="J49" s="39" t="e">
        <f ca="1">OFFSET('ASCII Data'!BJ$6,($B$2-1),0,1,1)/B45</f>
        <v>#DIV/0!</v>
      </c>
      <c r="K49" s="15" t="e">
        <f t="shared" ca="1" si="1"/>
        <v>#DIV/0!</v>
      </c>
      <c r="L49" s="32">
        <f t="shared" si="0"/>
        <v>0</v>
      </c>
    </row>
    <row r="50" spans="1:12" ht="18.75" x14ac:dyDescent="0.3">
      <c r="A50" s="21" t="s">
        <v>32</v>
      </c>
      <c r="B50" s="34">
        <f ca="1">OFFSET('ASCII Data'!$BS$6,SampleNumber-1,0,1,1)</f>
        <v>0</v>
      </c>
      <c r="C50" s="21"/>
      <c r="E50" s="23" t="s">
        <v>24</v>
      </c>
      <c r="F50" s="18">
        <f ca="1">OFFSET('ASCII Data'!N$6,SampleNumber-1,0,1,1)</f>
        <v>0</v>
      </c>
      <c r="G50" s="23" t="s">
        <v>15</v>
      </c>
      <c r="I50" s="16">
        <f>'ASCII Data'!$BK$4</f>
        <v>0</v>
      </c>
      <c r="J50" s="40" t="e">
        <f ca="1">OFFSET('ASCII Data'!BK$6,($B$2-1),0,1,1)/B45</f>
        <v>#DIV/0!</v>
      </c>
      <c r="K50" s="17" t="e">
        <f t="shared" ca="1" si="1"/>
        <v>#DIV/0!</v>
      </c>
      <c r="L50" s="32">
        <f t="shared" si="0"/>
        <v>0</v>
      </c>
    </row>
    <row r="51" spans="1:12" ht="18.75" x14ac:dyDescent="0.3">
      <c r="A51" s="22" t="s">
        <v>33</v>
      </c>
      <c r="B51" s="19">
        <f ca="1">OFFSET('ASCII Data'!$BT$6,SampleNumber-1,0,1,1)</f>
        <v>0</v>
      </c>
      <c r="C51" s="22" t="s">
        <v>34</v>
      </c>
      <c r="E51" s="22" t="s">
        <v>10</v>
      </c>
      <c r="F51" s="19">
        <f ca="1">OFFSET('ASCII Data'!O$6,SampleNumber-1,0,1,1)</f>
        <v>0</v>
      </c>
      <c r="G51" s="22" t="s">
        <v>15</v>
      </c>
      <c r="I51" s="14">
        <f>'ASCII Data'!$BL$4</f>
        <v>0</v>
      </c>
      <c r="J51" s="39" t="e">
        <f ca="1">OFFSET('ASCII Data'!BL$6,($B$2-1),0,1,1)/B45</f>
        <v>#DIV/0!</v>
      </c>
      <c r="K51" s="15" t="e">
        <f t="shared" ca="1" si="1"/>
        <v>#DIV/0!</v>
      </c>
      <c r="L51" s="32">
        <f t="shared" si="0"/>
        <v>0</v>
      </c>
    </row>
    <row r="52" spans="1:12" ht="18.75" x14ac:dyDescent="0.3">
      <c r="A52" s="21" t="s">
        <v>35</v>
      </c>
      <c r="B52" s="41">
        <f ca="1">OFFSET('ASCII Data'!$BU$6,SampleNumber-1,0,1,1)</f>
        <v>0</v>
      </c>
      <c r="C52" s="21" t="s">
        <v>46</v>
      </c>
      <c r="E52" s="23" t="s">
        <v>11</v>
      </c>
      <c r="F52" s="18">
        <f ca="1">OFFSET('ASCII Data'!P$6,SampleNumber-1,0,1,1)</f>
        <v>0</v>
      </c>
      <c r="G52" s="23" t="s">
        <v>15</v>
      </c>
      <c r="I52" s="16">
        <f>'ASCII Data'!$BM$4</f>
        <v>0</v>
      </c>
      <c r="J52" s="40" t="e">
        <f ca="1">OFFSET('ASCII Data'!BM$6,($B$2-1),0,1,1)/B45</f>
        <v>#DIV/0!</v>
      </c>
      <c r="K52" s="17" t="e">
        <f t="shared" ca="1" si="1"/>
        <v>#DIV/0!</v>
      </c>
      <c r="L52" s="32">
        <f t="shared" si="0"/>
        <v>0</v>
      </c>
    </row>
    <row r="53" spans="1:12" ht="18.75" x14ac:dyDescent="0.3">
      <c r="A53" s="22" t="s">
        <v>36</v>
      </c>
      <c r="B53" s="37">
        <f ca="1">OFFSET('ASCII Data'!$BV$6,SampleNumber-1,0,1,1)</f>
        <v>0</v>
      </c>
      <c r="C53" s="22" t="s">
        <v>40</v>
      </c>
      <c r="E53" s="22" t="s">
        <v>25</v>
      </c>
      <c r="F53" s="19">
        <f ca="1">OFFSET('ASCII Data'!Q$6,SampleNumber-1,0,1,1)</f>
        <v>0</v>
      </c>
      <c r="G53" s="22" t="s">
        <v>15</v>
      </c>
    </row>
    <row r="54" spans="1:12" ht="18.75" x14ac:dyDescent="0.3">
      <c r="A54" s="21" t="s">
        <v>37</v>
      </c>
      <c r="B54" s="41">
        <f ca="1">OFFSET('ASCII Data'!$BW$6,SampleNumber-1,0,1,1)</f>
        <v>0</v>
      </c>
      <c r="C54" s="21" t="s">
        <v>46</v>
      </c>
      <c r="E54" s="23" t="s">
        <v>12</v>
      </c>
      <c r="F54" s="18">
        <f ca="1">OFFSET('ASCII Data'!R$6,SampleNumber-1,0,1,1)</f>
        <v>0</v>
      </c>
      <c r="G54" s="23"/>
    </row>
    <row r="55" spans="1:12" ht="18.75" x14ac:dyDescent="0.3">
      <c r="A55" s="22" t="s">
        <v>28</v>
      </c>
      <c r="B55" s="42">
        <f ca="1">OFFSET('ASCII Data'!$BX$6,SampleNumber-1,0,1,1)</f>
        <v>0</v>
      </c>
      <c r="C55" s="22" t="s">
        <v>40</v>
      </c>
      <c r="E55" s="22" t="s">
        <v>13</v>
      </c>
      <c r="F55" s="19">
        <f ca="1">OFFSET('ASCII Data'!S$6,SampleNumber-1,0,1,1)</f>
        <v>0</v>
      </c>
      <c r="G55" s="22" t="s">
        <v>18</v>
      </c>
    </row>
    <row r="56" spans="1:12" ht="18.75" x14ac:dyDescent="0.3">
      <c r="A56" s="21" t="s">
        <v>38</v>
      </c>
      <c r="B56" s="41">
        <f ca="1">OFFSET('ASCII Data'!$BY$6,SampleNumber-1,0,1,1)</f>
        <v>0</v>
      </c>
      <c r="C56" s="21" t="s">
        <v>40</v>
      </c>
      <c r="E56" s="23" t="s">
        <v>26</v>
      </c>
      <c r="F56" s="18">
        <f ca="1">OFFSET('ASCII Data'!U$6,SampleNumber-1,0,1,1)</f>
        <v>0</v>
      </c>
      <c r="G56" s="23" t="s">
        <v>16</v>
      </c>
    </row>
    <row r="57" spans="1:12" ht="18.75" x14ac:dyDescent="0.3">
      <c r="A57" s="22" t="s">
        <v>39</v>
      </c>
      <c r="B57" s="19" t="str">
        <f ca="1">IF((OFFSET('ASCII Data'!$CA$6,SampleNumber-1,0,1,1))=1,"Manual", "Automatic")</f>
        <v>Automatic</v>
      </c>
      <c r="C57" s="22"/>
      <c r="E57" s="22" t="s">
        <v>14</v>
      </c>
      <c r="F57" s="19">
        <f ca="1">OFFSET('ASCII Data'!T$6,SampleNumber-1,0,1,1)</f>
        <v>0</v>
      </c>
      <c r="G57" s="22" t="s">
        <v>21</v>
      </c>
    </row>
  </sheetData>
  <conditionalFormatting sqref="D6 B6">
    <cfRule type="cellIs" dxfId="0" priority="1" operator="equal">
      <formula>0</formula>
    </cfRule>
  </conditionalFormatting>
  <pageMargins left="0.52" right="0.25" top="0.48" bottom="0.26" header="0.3" footer="0.21"/>
  <pageSetup scale="59" orientation="portrait" r:id="rId1"/>
  <drawing r:id="rId2"/>
  <legacyDrawing r:id="rId3"/>
  <controls>
    <mc:AlternateContent xmlns:mc="http://schemas.openxmlformats.org/markup-compatibility/2006">
      <mc:Choice Requires="x14">
        <control shapeId="1076" r:id="rId4" name="ScrollBar1">
          <controlPr defaultSize="0" print="0" autoFill="0" autoLine="0" linkedCell="$B$2" r:id="rId5">
            <anchor moveWithCells="1">
              <from>
                <xdr:col>2</xdr:col>
                <xdr:colOff>47625</xdr:colOff>
                <xdr:row>1</xdr:row>
                <xdr:rowOff>9525</xdr:rowOff>
              </from>
              <to>
                <xdr:col>4</xdr:col>
                <xdr:colOff>523875</xdr:colOff>
                <xdr:row>2</xdr:row>
                <xdr:rowOff>0</xdr:rowOff>
              </to>
            </anchor>
          </controlPr>
        </control>
      </mc:Choice>
      <mc:Fallback>
        <control shapeId="1076" r:id="rId4" name="ScrollBar1"/>
      </mc:Fallback>
    </mc:AlternateContent>
    <mc:AlternateContent xmlns:mc="http://schemas.openxmlformats.org/markup-compatibility/2006">
      <mc:Choice Requires="x14">
        <control shapeId="1071" r:id="rId6" name="Button 47">
          <controlPr defaultSize="0" print="0" autoFill="0" autoPict="0" macro="[0]!LoadFileButton_Click">
            <anchor moveWithCells="1" sizeWithCells="1">
              <from>
                <xdr:col>9</xdr:col>
                <xdr:colOff>38100</xdr:colOff>
                <xdr:row>1</xdr:row>
                <xdr:rowOff>142875</xdr:rowOff>
              </from>
              <to>
                <xdr:col>10</xdr:col>
                <xdr:colOff>704850</xdr:colOff>
                <xdr:row>3</xdr:row>
                <xdr:rowOff>57150</xdr:rowOff>
              </to>
            </anchor>
          </controlPr>
        </control>
      </mc:Choice>
    </mc:AlternateContent>
    <mc:AlternateContent xmlns:mc="http://schemas.openxmlformats.org/markup-compatibility/2006">
      <mc:Choice Requires="x14">
        <control shapeId="1077" r:id="rId7" name="Button 53">
          <controlPr defaultSize="0" print="0" autoFill="0" autoPict="0" macro="[0]!SaveAsPDFButton_Click">
            <anchor moveWithCells="1" sizeWithCells="1">
              <from>
                <xdr:col>9</xdr:col>
                <xdr:colOff>38100</xdr:colOff>
                <xdr:row>3</xdr:row>
                <xdr:rowOff>171450</xdr:rowOff>
              </from>
              <to>
                <xdr:col>10</xdr:col>
                <xdr:colOff>704850</xdr:colOff>
                <xdr:row>5</xdr:row>
                <xdr:rowOff>85725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6:A22"/>
  <sheetViews>
    <sheetView workbookViewId="0">
      <selection sqref="A1:CF6"/>
    </sheetView>
  </sheetViews>
  <sheetFormatPr defaultRowHeight="15" x14ac:dyDescent="0.25"/>
  <cols>
    <col min="1" max="1" width="41.7109375" bestFit="1" customWidth="1"/>
    <col min="2" max="2" width="10.5703125" bestFit="1" customWidth="1"/>
    <col min="3" max="3" width="22.85546875" bestFit="1" customWidth="1"/>
    <col min="4" max="4" width="26.85546875" bestFit="1" customWidth="1"/>
    <col min="5" max="5" width="24.140625" bestFit="1" customWidth="1"/>
    <col min="6" max="6" width="10.42578125" bestFit="1" customWidth="1"/>
    <col min="7" max="7" width="18.5703125" bestFit="1" customWidth="1"/>
    <col min="8" max="17" width="8.42578125" bestFit="1" customWidth="1"/>
    <col min="18" max="18" width="8.85546875" bestFit="1" customWidth="1"/>
    <col min="19" max="19" width="12.5703125" bestFit="1" customWidth="1"/>
    <col min="20" max="20" width="11.7109375" bestFit="1" customWidth="1"/>
    <col min="21" max="21" width="9.28515625" bestFit="1" customWidth="1"/>
    <col min="22" max="65" width="7.28515625" bestFit="1" customWidth="1"/>
    <col min="66" max="66" width="37.28515625" bestFit="1" customWidth="1"/>
    <col min="67" max="67" width="15.28515625" bestFit="1" customWidth="1"/>
    <col min="68" max="68" width="10.7109375" bestFit="1" customWidth="1"/>
    <col min="69" max="69" width="15.85546875" bestFit="1" customWidth="1"/>
    <col min="70" max="70" width="14" bestFit="1" customWidth="1"/>
    <col min="71" max="71" width="13.42578125" bestFit="1" customWidth="1"/>
    <col min="72" max="72" width="16.5703125" bestFit="1" customWidth="1"/>
    <col min="73" max="73" width="12.5703125" bestFit="1" customWidth="1"/>
    <col min="74" max="74" width="14.85546875" bestFit="1" customWidth="1"/>
    <col min="75" max="75" width="16.5703125" bestFit="1" customWidth="1"/>
    <col min="76" max="76" width="18.28515625" bestFit="1" customWidth="1"/>
    <col min="77" max="77" width="17" bestFit="1" customWidth="1"/>
    <col min="78" max="78" width="14" bestFit="1" customWidth="1"/>
    <col min="79" max="79" width="15.140625" bestFit="1" customWidth="1"/>
    <col min="80" max="80" width="15.28515625" bestFit="1" customWidth="1"/>
    <col min="81" max="82" width="7.28515625" bestFit="1" customWidth="1"/>
    <col min="83" max="83" width="9.7109375" bestFit="1" customWidth="1"/>
    <col min="84" max="84" width="10.140625" bestFit="1" customWidth="1"/>
  </cols>
  <sheetData>
    <row r="6" spans="1:1" x14ac:dyDescent="0.25">
      <c r="A6" s="3"/>
    </row>
    <row r="7" spans="1:1" x14ac:dyDescent="0.25">
      <c r="A7" s="3"/>
    </row>
    <row r="8" spans="1:1" x14ac:dyDescent="0.25">
      <c r="A8" s="3"/>
    </row>
    <row r="9" spans="1:1" x14ac:dyDescent="0.25">
      <c r="A9" s="3"/>
    </row>
    <row r="10" spans="1:1" x14ac:dyDescent="0.25">
      <c r="A10" s="3"/>
    </row>
    <row r="11" spans="1:1" x14ac:dyDescent="0.25">
      <c r="A11" s="3"/>
    </row>
    <row r="12" spans="1:1" x14ac:dyDescent="0.25">
      <c r="A12" s="3"/>
    </row>
    <row r="13" spans="1:1" x14ac:dyDescent="0.25">
      <c r="A13" s="3"/>
    </row>
    <row r="14" spans="1:1" x14ac:dyDescent="0.25">
      <c r="A14" s="3"/>
    </row>
    <row r="15" spans="1:1" x14ac:dyDescent="0.25">
      <c r="A15" s="3"/>
    </row>
    <row r="16" spans="1:1" x14ac:dyDescent="0.25">
      <c r="A16" s="3"/>
    </row>
    <row r="17" spans="1:1" x14ac:dyDescent="0.25">
      <c r="A17" s="3"/>
    </row>
    <row r="18" spans="1:1" x14ac:dyDescent="0.25">
      <c r="A18" s="3"/>
    </row>
    <row r="19" spans="1:1" x14ac:dyDescent="0.25">
      <c r="A19" s="3"/>
    </row>
    <row r="20" spans="1:1" x14ac:dyDescent="0.25">
      <c r="A20" s="3"/>
    </row>
    <row r="21" spans="1:1" x14ac:dyDescent="0.25">
      <c r="A21" s="3"/>
    </row>
    <row r="22" spans="1:1" x14ac:dyDescent="0.25">
      <c r="A22"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Instructions</vt:lpstr>
      <vt:lpstr>Report</vt:lpstr>
      <vt:lpstr>ASCII Data</vt:lpstr>
      <vt:lpstr>Data</vt:lpstr>
      <vt:lpstr>SampleNumber</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LISST-Portable Report Template</dc:title>
  <dc:creator>Thomas Leeuw</dc:creator>
  <cp:lastModifiedBy>Thomas Leeuw</cp:lastModifiedBy>
  <cp:lastPrinted>2015-06-03T00:56:32Z</cp:lastPrinted>
  <dcterms:created xsi:type="dcterms:W3CDTF">2010-02-09T00:02:54Z</dcterms:created>
  <dcterms:modified xsi:type="dcterms:W3CDTF">2018-08-03T16:05:42Z</dcterms:modified>
</cp:coreProperties>
</file>